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time_entry-master\carpe-diem-time-entry-master\"/>
    </mc:Choice>
  </mc:AlternateContent>
  <xr:revisionPtr revIDLastSave="1940" documentId="13_ncr:1_{03B3A663-9170-4F06-8B23-B845C6637FFA}" xr6:coauthVersionLast="45" xr6:coauthVersionMax="45" xr10:uidLastSave="{97F4D0A0-44B6-4DF3-935B-5F9E8551986F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E12" i="1" l="1"/>
  <c r="E13" i="1"/>
  <c r="E14" i="1"/>
  <c r="G13" i="1"/>
  <c r="AB12" i="1"/>
  <c r="AA12" i="1"/>
  <c r="Z12" i="1"/>
  <c r="X12" i="1"/>
  <c r="V12" i="1"/>
  <c r="AB10" i="1"/>
  <c r="X10" i="1"/>
  <c r="V10" i="1"/>
  <c r="G14" i="1" l="1"/>
  <c r="G12" i="1"/>
  <c r="G9" i="1" l="1"/>
  <c r="E10" i="1"/>
  <c r="G10" i="1" s="1"/>
  <c r="G7" i="1"/>
  <c r="E8" i="1"/>
  <c r="G8" i="1" s="1"/>
  <c r="A1" i="4" l="1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<sst xmlns="http://schemas.openxmlformats.org/spreadsheetml/2006/main" count="103" uniqueCount="51">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</sst>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1</xdr:row>
          <xdr:rowOff>12700</xdr:rowOff>
        </xdr:from>
        <xdr:to>
          <xdr:col>8</xdr:col>
          <xdr:colOff>768350</xdr:colOff>
          <xdr:row>2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1485900</xdr:colOff>
          <xdr:row>1</xdr:row>
          <xdr:rowOff>12700</xdr:rowOff>
        </xdr:from>
        <xdr:to>
          <xdr:col>11</xdr:col>
          <xdr:colOff>698500</xdr:colOff>
          <xdr:row>2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1022350</xdr:colOff>
          <xdr:row>1</xdr:row>
          <xdr:rowOff>19050</xdr:rowOff>
        </xdr:from>
        <xdr:to>
          <xdr:col>9</xdr:col>
          <xdr:colOff>1263650</xdr:colOff>
          <xdr:row>2</xdr:row>
          <xdr:rowOff>120650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0" sqref="E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/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/>
      <c r="F7" s="24"/>
      <c r="G7" s="25" t="str">
        <f>IF(ISBLANK(F7) = FALSE,(F7-E7)*24,"")</f>
        <v/>
      </c>
      <c r="H7" s="26"/>
      <c r="I7" s="26"/>
      <c r="J7" s="52"/>
      <c r="K7" s="17" t="s">
        <v>37</v>
      </c>
      <c r="L7" s="61"/>
      <c r="M7" s="58"/>
      <c r="N7" s="26"/>
      <c r="O7" s="65"/>
      <c r="P7" s="64"/>
      <c r="Q7" s="54"/>
      <c r="R7" s="23"/>
      <c r="V7" s="71"/>
      <c r="W7" s="66"/>
      <c r="X7" s="59"/>
      <c r="Y7" s="54"/>
      <c r="Z7" s="59"/>
      <c r="AA7" s="59"/>
      <c r="AB7" s="23"/>
    </row>
    <row r="8" spans="1:28" x14ac:dyDescent="0.35">
      <c r="C8" s="44"/>
      <c r="D8" s="45"/>
      <c r="E8" s="24" t="str">
        <f t="shared" ref="E8" si="0">IF(ISBLANK(F7) = FALSE, F7, "")</f>
        <v/>
      </c>
      <c r="F8" s="24"/>
      <c r="G8" s="25" t="str">
        <f t="shared" ref="G8:G10" si="1">IF(ISBLANK(F8) = FALSE,(F8-E8)*24,"")</f>
        <v/>
      </c>
      <c r="H8" s="26"/>
      <c r="I8" s="26"/>
      <c r="J8" s="26"/>
      <c r="K8" s="17" t="s">
        <v>37</v>
      </c>
      <c r="L8" s="61"/>
      <c r="M8" s="58"/>
      <c r="N8" s="26"/>
      <c r="O8" s="65"/>
      <c r="P8" s="64"/>
      <c r="Q8" s="54"/>
      <c r="R8" s="23"/>
      <c r="V8" s="71"/>
      <c r="W8" s="66"/>
      <c r="X8" s="59"/>
      <c r="Y8" s="54"/>
      <c r="Z8" s="59"/>
      <c r="AA8" s="59"/>
      <c r="AB8" s="23"/>
    </row>
    <row r="9" spans="1:28" x14ac:dyDescent="0.35">
      <c r="C9" s="44"/>
      <c r="D9" s="45"/>
      <c r="E9" s="24" t="str">
        <f>IF(ISBLANK(F8) = FALSE, F8, "")</f>
        <v/>
      </c>
      <c r="F9" s="24"/>
      <c r="G9" s="25" t="str">
        <f t="shared" si="1"/>
        <v/>
      </c>
      <c r="H9" s="26"/>
      <c r="I9" s="26"/>
      <c r="J9" s="26"/>
      <c r="K9" s="17" t="s">
        <v>37</v>
      </c>
      <c r="L9" s="61"/>
      <c r="M9" s="58"/>
      <c r="N9" s="26"/>
      <c r="O9" s="65"/>
      <c r="P9" s="64"/>
      <c r="Q9" s="54"/>
      <c r="R9" s="23"/>
      <c r="V9" s="71"/>
      <c r="W9" s="66"/>
      <c r="X9" s="59"/>
      <c r="Y9" s="54"/>
      <c r="Z9" s="59"/>
      <c r="AA9" s="59"/>
      <c r="AB9" s="23"/>
    </row>
    <row r="10" spans="1:28" x14ac:dyDescent="0.35">
      <c r="C10" s="44"/>
      <c r="D10" s="45"/>
      <c r="E10" s="24" t="str">
        <f>IF(ISBLANK(F9) = FALSE, F9, "")</f>
        <v/>
      </c>
      <c r="F10" s="24"/>
      <c r="G10" s="25" t="str">
        <f t="shared" si="1"/>
        <v/>
      </c>
      <c r="H10" s="26"/>
      <c r="I10" s="26"/>
      <c r="J10" s="26"/>
      <c r="K10" s="17"/>
      <c r="L10" s="61"/>
      <c r="M10" s="58"/>
      <c r="N10" s="26"/>
      <c r="O10" s="65"/>
      <c r="P10" s="64"/>
      <c r="Q10" s="54"/>
      <c r="R10" s="23"/>
      <c r="V10" s="71" t="str">
        <f t="shared" ref="V10" si="2">IF(ISNUMBER($W10) = TRUE,$D$6, "")</f>
        <v/>
      </c>
      <c r="W10" s="66" t="s">
        <v>33</v>
      </c>
      <c r="X10" s="59" t="str">
        <f t="shared" ref="X10" si="3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4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5">IF(ISBLANK(F11) = FALSE, F11, "")</f>
        <v/>
      </c>
      <c r="F12" s="24"/>
      <c r="G12" s="25" t="str">
        <f t="shared" ref="G12:G30" si="6">IF(ISBLANK(F12) = FALSE,(F12-E12)*24,"")</f>
        <v/>
      </c>
      <c r="H12" s="26"/>
      <c r="I12" s="26"/>
      <c r="J12" s="26"/>
      <c r="K12" s="17"/>
      <c r="L12" s="61"/>
      <c r="M12" s="58"/>
      <c r="N12" s="26"/>
      <c r="O12" s="65"/>
      <c r="P12" s="64"/>
      <c r="Q12" s="54"/>
      <c r="R12" s="23"/>
      <c r="V12" s="71" t="str">
        <f t="shared" ref="V12" si="7">IF(ISNUMBER($W12) = TRUE,$D$11, "")</f>
        <v/>
      </c>
      <c r="W12" s="66" t="s">
        <v>33</v>
      </c>
      <c r="X12" s="59" t="str">
        <f t="shared" ref="X12" si="8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5"/>
        <v/>
      </c>
      <c r="F13" s="24"/>
      <c r="G13" s="25" t="str">
        <f t="shared" si="6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5"/>
        <v/>
      </c>
      <c r="F14" s="24"/>
      <c r="G14" s="25" t="str">
        <f t="shared" si="6"/>
        <v/>
      </c>
      <c r="H14" s="26"/>
      <c r="I14" s="26"/>
      <c r="J14" s="26"/>
      <c r="K14" s="17"/>
      <c r="L14" s="61"/>
      <c r="M14" s="58"/>
      <c r="N14" s="26"/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4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9">IF(ISBLANK(F15) = FALSE, F15, "")</f>
        <v/>
      </c>
      <c r="F16" s="24"/>
      <c r="G16" s="25" t="str">
        <f t="shared" si="6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9"/>
        <v/>
      </c>
      <c r="F17" s="24"/>
      <c r="G17" s="25" t="str">
        <f t="shared" si="6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9"/>
        <v/>
      </c>
      <c r="F18" s="24"/>
      <c r="G18" s="25" t="str">
        <f t="shared" si="6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4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9"/>
        <v/>
      </c>
      <c r="F20" s="24"/>
      <c r="G20" s="25" t="str">
        <f t="shared" si="6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9"/>
        <v/>
      </c>
      <c r="F21" s="24"/>
      <c r="G21" s="25" t="str">
        <f t="shared" si="6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9"/>
        <v/>
      </c>
      <c r="F22" s="24"/>
      <c r="G22" s="25" t="str">
        <f t="shared" si="6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4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9"/>
        <v/>
      </c>
      <c r="F24" s="24"/>
      <c r="G24" s="25" t="str">
        <f t="shared" si="6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9"/>
        <v/>
      </c>
      <c r="F25" s="24"/>
      <c r="G25" s="25" t="str">
        <f t="shared" si="6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9"/>
        <v/>
      </c>
      <c r="F26" s="24"/>
      <c r="G26" s="25" t="str">
        <f t="shared" si="6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4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9"/>
        <v/>
      </c>
      <c r="F28" s="24"/>
      <c r="G28" s="25" t="str">
        <f t="shared" si="6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4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9"/>
        <v/>
      </c>
      <c r="F30" s="24"/>
      <c r="G30" s="25" t="str">
        <f t="shared" si="6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0</v>
      </c>
      <c r="P32" s="74" t="s">
        <v>25</v>
      </c>
      <c r="R32">
        <f>SUMIFS(P7:P30,R7:R30,"=Billable")</f>
        <v>0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1</xdr:row>
                    <xdr:rowOff>12700</xdr:rowOff>
                  </from>
                  <to>
                    <xdr:col>8</xdr:col>
                    <xdr:colOff>768350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1485900</xdr:colOff>
                    <xdr:row>1</xdr:row>
                    <xdr:rowOff>12700</xdr:rowOff>
                  </from>
                  <to>
                    <xdr:col>11</xdr:col>
                    <xdr:colOff>698500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1022350</xdr:colOff>
                    <xdr:row>1</xdr:row>
                    <xdr:rowOff>19050</xdr:rowOff>
                  </from>
                  <to>
                    <xdr:col>9</xdr:col>
                    <xdr:colOff>1263650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H1:H6 H10 H8 H9 H11:H14 H7</xm:sqref>
        </x14:dataValidation>
        <x14:dataValidation type="list" allowBlank="1" showInputMessage="1" showErrorMessage="1" xr:uid="{0DD2755C-A4CC-46AD-B600-2BA63996E184}">
          <x14:formula1>
            <xm:f>Matter_Code!$A$5:$A$94</xm:f>
          </x14:formula1>
          <xm:sqref>H28 H22 H20 H30 H24:H26 H16:H18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8"/>
  <sheetViews>
    <sheetView workbookViewId="0">
      <selection activeCell="E9" sqref="E9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Matter_Code!$A$5:$A$94</xm:f>
          </x14:formula1>
          <xm:sqref>H22 H2:H4 H24 H6:H8 H10:H12 H14:H16 H18:H20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2020-08-06T14:08:24Z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