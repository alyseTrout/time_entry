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arment\OneDrive - FTI Consulting\Desktop\Alyse\"/>
    </mc:Choice>
  </mc:AlternateContent>
  <xr:revisionPtr revIDLastSave="1865" documentId="13_ncr:1_{03B3A663-9170-4F06-8B23-B845C6637FFA}" xr6:coauthVersionLast="45" xr6:coauthVersionMax="45" xr10:uidLastSave="{15BE95B5-9CC7-4334-A1CB-6FFECFE874BE}"/>
  <bookViews>
    <workbookView xWindow="-110" yWindow="-110" windowWidth="19420" windowHeight="10420" xr2:uid="{58900AC1-61EE-47AE-B6B2-03F6B4FF7E69}"/>
  </bookViews>
  <sheets>
    <sheet name="Time_Entry" sheetId="1" r:id="rId1"/>
    <sheet name="Matter_Code" sheetId="2" r:id="rId2"/>
    <sheet name="Jurisdiction" sheetId="4" r:id="rId3"/>
    <sheet name="Week_Template" sheetId="3" state="hidden" r:id="rId4"/>
  </sheets>
  <functionGroups builtInGroupCount="19"/>
  <definedNames>
    <definedName name="_xlnm._FilterDatabase" localSheetId="1" hidden="1">Matter_Code!$A$4:$F$8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9" i="1" l="1"/>
  <c r="R8" i="1"/>
  <c r="R9" i="1"/>
  <c r="R7" i="1"/>
  <c r="P8" i="1"/>
  <c r="P9" i="1"/>
  <c r="P7" i="1"/>
  <c r="Z7" i="1"/>
  <c r="Z8" i="1"/>
  <c r="Z9" i="1"/>
  <c r="X7" i="1"/>
  <c r="X8" i="1"/>
  <c r="X9" i="1"/>
  <c r="V7" i="1"/>
  <c r="V8" i="1"/>
  <c r="V9" i="1"/>
  <c r="N8" i="1"/>
  <c r="N9" i="1"/>
  <c r="N10" i="1"/>
  <c r="L8" i="1"/>
  <c r="L10" i="1"/>
  <c r="N7" i="1"/>
  <c r="L7" i="1"/>
  <c r="AB7" i="1"/>
  <c r="AB8" i="1"/>
  <c r="AB9" i="1"/>
  <c r="AA8" i="1"/>
  <c r="AA7" i="1"/>
  <c r="AA9" i="1"/>
  <c r="E12" i="1" l="1"/>
  <c r="E13" i="1"/>
  <c r="E14" i="1"/>
  <c r="G13" i="1"/>
  <c r="AB12" i="1"/>
  <c r="AA12" i="1"/>
  <c r="Z12" i="1"/>
  <c r="X12" i="1"/>
  <c r="V12" i="1"/>
  <c r="N12" i="1"/>
  <c r="N14" i="1"/>
  <c r="L12" i="1"/>
  <c r="L14" i="1"/>
  <c r="AB10" i="1"/>
  <c r="X10" i="1"/>
  <c r="V10" i="1"/>
  <c r="G14" i="1" l="1"/>
  <c r="G12" i="1"/>
  <c r="G9" i="1" l="1"/>
  <c r="E10" i="1"/>
  <c r="G10" i="1" s="1"/>
  <c r="G7" i="1"/>
  <c r="E8" i="1"/>
  <c r="G8" i="1" s="1"/>
  <c r="A1" i="4" l="1"/>
  <c r="A1" i="2"/>
  <c r="E1" i="4"/>
  <c r="E2" i="2"/>
  <c r="E1" i="2"/>
  <c r="E2" i="4"/>
  <c r="G26" i="3" l="1"/>
  <c r="R26" i="3"/>
  <c r="G24" i="3" l="1"/>
  <c r="E24" i="3"/>
  <c r="G22" i="3"/>
  <c r="E22" i="3"/>
  <c r="G20" i="3"/>
  <c r="E20" i="3"/>
  <c r="G19" i="3"/>
  <c r="E19" i="3"/>
  <c r="G18" i="3"/>
  <c r="E18" i="3"/>
  <c r="G16" i="3"/>
  <c r="E16" i="3"/>
  <c r="G15" i="3"/>
  <c r="E15" i="3"/>
  <c r="G14" i="3"/>
  <c r="E14" i="3"/>
  <c r="G12" i="3"/>
  <c r="E12" i="3"/>
  <c r="G11" i="3"/>
  <c r="E11" i="3"/>
  <c r="G10" i="3"/>
  <c r="E10" i="3"/>
  <c r="G8" i="3"/>
  <c r="E8" i="3"/>
  <c r="G7" i="3"/>
  <c r="E7" i="3"/>
  <c r="G6" i="3"/>
  <c r="E6" i="3"/>
  <c r="E4" i="3"/>
  <c r="G4" i="3" s="1"/>
  <c r="E3" i="3"/>
  <c r="G3" i="3" s="1"/>
  <c r="G2" i="3"/>
  <c r="C1" i="3"/>
  <c r="A1" i="3"/>
  <c r="C5" i="3" l="1"/>
  <c r="C9" i="3"/>
  <c r="C13" i="3" l="1"/>
  <c r="C17" i="3" l="1"/>
  <c r="C21" i="3" l="1"/>
  <c r="C23" i="3"/>
  <c r="A6" i="1"/>
  <c r="C11" i="1" l="1"/>
  <c r="D7" i="2"/>
  <c r="D6" i="2"/>
  <c r="D8" i="2"/>
  <c r="D5" i="2"/>
  <c r="E16" i="1"/>
  <c r="E17" i="1"/>
  <c r="E18" i="1"/>
  <c r="E20" i="1"/>
  <c r="E21" i="1"/>
  <c r="E22" i="1"/>
  <c r="E24" i="1"/>
  <c r="E25" i="1"/>
  <c r="E26" i="1"/>
  <c r="E28" i="1"/>
  <c r="E30" i="1"/>
  <c r="G16" i="1"/>
  <c r="G17" i="1"/>
  <c r="G18" i="1"/>
  <c r="G20" i="1"/>
  <c r="G21" i="1"/>
  <c r="G22" i="1"/>
  <c r="G24" i="1"/>
  <c r="G25" i="1"/>
  <c r="G26" i="1"/>
  <c r="G28" i="1"/>
  <c r="G30" i="1"/>
  <c r="C6" i="1"/>
  <c r="G32" i="1" l="1"/>
  <c r="R32" i="1" l="1"/>
  <c r="C15" i="1"/>
  <c r="C19" i="1" l="1"/>
  <c r="C23" i="1" l="1"/>
  <c r="C29" i="1" l="1"/>
  <c r="C27" i="1"/>
</calcChain>
</file>

<file path=xl/sharedStrings.xml><?xml version="1.0" encoding="utf-8"?>
<sst xmlns="http://schemas.openxmlformats.org/spreadsheetml/2006/main" count="121" uniqueCount="52">
  <si>
    <t>Month</t>
  </si>
  <si>
    <t>Week</t>
  </si>
  <si>
    <t>Day</t>
  </si>
  <si>
    <t>Date</t>
  </si>
  <si>
    <t>Start Time</t>
  </si>
  <si>
    <t>End Time</t>
  </si>
  <si>
    <t>Hours</t>
  </si>
  <si>
    <t>Matter Code</t>
  </si>
  <si>
    <t>Client</t>
  </si>
  <si>
    <t>Task Code</t>
  </si>
  <si>
    <t>Description</t>
  </si>
  <si>
    <t>Additional Description</t>
  </si>
  <si>
    <t>Jurisdiction:</t>
  </si>
  <si>
    <t>VA-OTH</t>
  </si>
  <si>
    <t>Name:</t>
  </si>
  <si>
    <t>Name</t>
  </si>
  <si>
    <t>Bill Code Type</t>
  </si>
  <si>
    <t>Holiday</t>
  </si>
  <si>
    <t>Billable</t>
  </si>
  <si>
    <t>Non-billable</t>
  </si>
  <si>
    <t>Daily Hours</t>
  </si>
  <si>
    <t>Matter</t>
  </si>
  <si>
    <t>Matter ID</t>
  </si>
  <si>
    <t>Total Hours</t>
  </si>
  <si>
    <t>Week Total:</t>
  </si>
  <si>
    <t>Total Billable:</t>
  </si>
  <si>
    <t>Jurisdiction</t>
  </si>
  <si>
    <t>Jurisdictions</t>
  </si>
  <si>
    <t>VA-MCL</t>
  </si>
  <si>
    <t>VA-WIL</t>
  </si>
  <si>
    <t>DC</t>
  </si>
  <si>
    <t>Default Jurisdiction:</t>
  </si>
  <si>
    <t>Jurisdiction Change?</t>
  </si>
  <si>
    <t/>
  </si>
  <si>
    <t>Daily Rollup</t>
  </si>
  <si>
    <t>Weekly Rollup</t>
  </si>
  <si>
    <t>Raw Carpe Diem Entries (View Only)</t>
  </si>
  <si>
    <t xml:space="preserve"> </t>
  </si>
  <si>
    <t>&lt;NAME&gt;</t>
  </si>
  <si>
    <t>&lt;COMPANY&gt;</t>
  </si>
  <si>
    <t>Example Matter 1 - 2A</t>
  </si>
  <si>
    <t>2A</t>
  </si>
  <si>
    <t>2B</t>
  </si>
  <si>
    <t>Example Matter 1 - 2B</t>
  </si>
  <si>
    <t>Worked on task 2A</t>
  </si>
  <si>
    <t>Worked on task 2B</t>
  </si>
  <si>
    <t>000000.0001</t>
  </si>
  <si>
    <t>000001.0000</t>
  </si>
  <si>
    <t>Example Matter 2</t>
  </si>
  <si>
    <t>000000.0002</t>
  </si>
  <si>
    <t>x</t>
  </si>
  <si>
    <t>SAMPLE 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</si>
</sst>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/d;@"/>
    <numFmt numFmtId="165" formatCode="[$-409]h:mm\ AM/PM;@"/>
    <numFmt numFmtId="166" formatCode="0.0"/>
    <numFmt numFmtId="167" formatCode="m/d/yy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80"/>
      <name val="Calibri"/>
      <family val="2"/>
    </font>
    <font>
      <sz val="7"/>
      <color rgb="FF3E3E3E"/>
      <name val="Consolas"/>
      <family val="3"/>
    </font>
  </fonts>
  <fills count="9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D9E1F2"/>
        <bgColor indexed="64"/>
      </patternFill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85">
    <xf numFmtId="0" fontId="0" fillId="0" borderId="0" xfId="0"/>
    <xf numFmtId="0" fontId="1" fillId="0" borderId="0" xfId="0" applyFont="1"/>
    <xf numFmtId="49" fontId="0" fillId="0" borderId="0" xfId="0" applyNumberFormat="1"/>
    <xf numFmtId="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0" xfId="0" applyNumberFormat="1" applyFont="1" applyFill="1" applyAlignment="1">
      <alignment horizontal="center"/>
    </xf>
    <xf numFmtId="165" fontId="0" fillId="0" borderId="0" xfId="0" applyNumberFormat="1"/>
    <xf numFmtId="0" fontId="3" fillId="3" borderId="0" xfId="0" applyFont="1" applyFill="1" applyAlignment="1">
      <alignment horizontal="center"/>
    </xf>
    <xf numFmtId="0" fontId="3" fillId="3" borderId="0" xfId="0" applyNumberFormat="1" applyFont="1" applyFill="1" applyAlignment="1">
      <alignment horizontal="center"/>
    </xf>
    <xf numFmtId="165" fontId="3" fillId="3" borderId="0" xfId="0" applyNumberFormat="1" applyFont="1" applyFill="1"/>
    <xf numFmtId="0" fontId="3" fillId="3" borderId="0" xfId="0" applyFont="1" applyFill="1"/>
    <xf numFmtId="0" fontId="2" fillId="3" borderId="0" xfId="0" applyFont="1" applyFill="1" applyAlignment="1">
      <alignment horizontal="center"/>
    </xf>
    <xf numFmtId="166" fontId="3" fillId="3" borderId="0" xfId="0" applyNumberFormat="1" applyFont="1" applyFill="1"/>
    <xf numFmtId="166" fontId="0" fillId="0" borderId="0" xfId="0" applyNumberFormat="1"/>
    <xf numFmtId="165" fontId="2" fillId="3" borderId="0" xfId="0" applyNumberFormat="1" applyFont="1" applyFill="1"/>
    <xf numFmtId="166" fontId="2" fillId="3" borderId="0" xfId="0" applyNumberFormat="1" applyFont="1" applyFill="1"/>
    <xf numFmtId="0" fontId="1" fillId="0" borderId="0" xfId="0" applyFont="1" applyFill="1"/>
    <xf numFmtId="165" fontId="1" fillId="2" borderId="0" xfId="0" applyNumberFormat="1" applyFont="1" applyFill="1" applyAlignment="1">
      <alignment horizontal="center"/>
    </xf>
    <xf numFmtId="166" fontId="1" fillId="2" borderId="0" xfId="0" applyNumberFormat="1" applyFont="1" applyFill="1" applyAlignment="1">
      <alignment horizontal="center"/>
    </xf>
    <xf numFmtId="164" fontId="3" fillId="3" borderId="0" xfId="0" applyNumberFormat="1" applyFont="1" applyFill="1" applyAlignment="1">
      <alignment horizontal="center"/>
    </xf>
    <xf numFmtId="164" fontId="1" fillId="2" borderId="0" xfId="0" applyNumberFormat="1" applyFont="1" applyFill="1" applyAlignment="1">
      <alignment horizontal="center"/>
    </xf>
    <xf numFmtId="164" fontId="0" fillId="0" borderId="0" xfId="0" applyNumberFormat="1" applyAlignment="1">
      <alignment horizontal="center"/>
    </xf>
    <xf numFmtId="0" fontId="0" fillId="4" borderId="0" xfId="0" applyFill="1"/>
    <xf numFmtId="165" fontId="0" fillId="5" borderId="0" xfId="0" applyNumberFormat="1" applyFill="1"/>
    <xf numFmtId="166" fontId="0" fillId="5" borderId="0" xfId="0" applyNumberFormat="1" applyFill="1"/>
    <xf numFmtId="0" fontId="0" fillId="5" borderId="0" xfId="0" applyFill="1"/>
    <xf numFmtId="0" fontId="0" fillId="3" borderId="0" xfId="0" applyFill="1"/>
    <xf numFmtId="0" fontId="2" fillId="3" borderId="0" xfId="0" applyNumberFormat="1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/>
    <xf numFmtId="0" fontId="0" fillId="6" borderId="0" xfId="0" applyNumberFormat="1" applyFill="1" applyAlignment="1">
      <alignment horizontal="center"/>
    </xf>
    <xf numFmtId="164" fontId="0" fillId="6" borderId="0" xfId="0" applyNumberFormat="1" applyFill="1" applyAlignment="1">
      <alignment horizontal="center"/>
    </xf>
    <xf numFmtId="165" fontId="0" fillId="6" borderId="0" xfId="0" applyNumberFormat="1" applyFill="1"/>
    <xf numFmtId="166" fontId="0" fillId="6" borderId="0" xfId="0" applyNumberFormat="1" applyFill="1"/>
    <xf numFmtId="0" fontId="0" fillId="6" borderId="0" xfId="0" applyFill="1"/>
    <xf numFmtId="0" fontId="2" fillId="3" borderId="0" xfId="0" applyFont="1" applyFill="1" applyAlignment="1">
      <alignment horizontal="left"/>
    </xf>
    <xf numFmtId="166" fontId="2" fillId="3" borderId="0" xfId="0" applyNumberFormat="1" applyFont="1" applyFill="1" applyAlignment="1">
      <alignment horizontal="left"/>
    </xf>
    <xf numFmtId="49" fontId="3" fillId="3" borderId="0" xfId="0" applyNumberFormat="1" applyFont="1" applyFill="1" applyAlignment="1">
      <alignment horizontal="center"/>
    </xf>
    <xf numFmtId="49" fontId="2" fillId="3" borderId="0" xfId="0" applyNumberFormat="1" applyFont="1" applyFill="1" applyAlignment="1">
      <alignment horizontal="left"/>
    </xf>
    <xf numFmtId="49" fontId="2" fillId="3" borderId="0" xfId="0" applyNumberFormat="1" applyFont="1" applyFill="1"/>
    <xf numFmtId="0" fontId="0" fillId="5" borderId="0" xfId="0" applyFill="1" applyBorder="1"/>
    <xf numFmtId="0" fontId="0" fillId="5" borderId="0" xfId="0" applyFill="1" applyBorder="1" applyAlignment="1">
      <alignment horizontal="center"/>
    </xf>
    <xf numFmtId="49" fontId="0" fillId="5" borderId="0" xfId="0" applyNumberFormat="1" applyFill="1" applyBorder="1" applyAlignment="1">
      <alignment horizontal="center"/>
    </xf>
    <xf numFmtId="0" fontId="0" fillId="0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0" fontId="1" fillId="2" borderId="0" xfId="0" applyFont="1" applyFill="1" applyBorder="1" applyAlignment="1">
      <alignment horizontal="center"/>
    </xf>
    <xf numFmtId="49" fontId="1" fillId="2" borderId="0" xfId="0" applyNumberFormat="1" applyFont="1" applyFill="1" applyBorder="1" applyAlignment="1">
      <alignment horizontal="center"/>
    </xf>
    <xf numFmtId="0" fontId="0" fillId="5" borderId="0" xfId="0" applyFill="1" applyBorder="1" applyAlignment="1">
      <alignment horizontal="left"/>
    </xf>
    <xf numFmtId="165" fontId="6" fillId="0" borderId="0" xfId="0" applyNumberFormat="1" applyFont="1"/>
    <xf numFmtId="0" fontId="6" fillId="0" borderId="0" xfId="0" applyFont="1"/>
    <xf numFmtId="0" fontId="1" fillId="2" borderId="0" xfId="0" applyFont="1" applyFill="1"/>
    <xf numFmtId="0" fontId="0" fillId="7" borderId="0" xfId="0" applyFill="1"/>
    <xf numFmtId="0" fontId="0" fillId="7" borderId="0" xfId="0" applyFill="1" applyAlignment="1">
      <alignment horizontal="center"/>
    </xf>
    <xf numFmtId="0" fontId="0" fillId="8" borderId="0" xfId="0" applyFill="1" applyAlignment="1">
      <alignment horizontal="left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8" fillId="0" borderId="1" xfId="0" applyFont="1" applyBorder="1" applyAlignment="1">
      <alignment horizontal="left" vertical="center"/>
    </xf>
    <xf numFmtId="0" fontId="0" fillId="7" borderId="0" xfId="0" applyFill="1" applyAlignment="1">
      <alignment horizontal="left"/>
    </xf>
    <xf numFmtId="0" fontId="0" fillId="4" borderId="0" xfId="0" applyFill="1" applyAlignment="1">
      <alignment horizontal="center"/>
    </xf>
    <xf numFmtId="166" fontId="2" fillId="3" borderId="0" xfId="0" applyNumberFormat="1" applyFont="1" applyFill="1" applyAlignment="1">
      <alignment horizontal="center"/>
    </xf>
    <xf numFmtId="166" fontId="0" fillId="5" borderId="0" xfId="0" applyNumberFormat="1" applyFill="1" applyAlignment="1">
      <alignment horizontal="center"/>
    </xf>
    <xf numFmtId="166" fontId="0" fillId="6" borderId="0" xfId="0" applyNumberFormat="1" applyFill="1" applyAlignment="1">
      <alignment horizontal="center"/>
    </xf>
    <xf numFmtId="166" fontId="0" fillId="0" borderId="0" xfId="0" applyNumberFormat="1" applyAlignment="1">
      <alignment horizontal="center"/>
    </xf>
    <xf numFmtId="166" fontId="0" fillId="8" borderId="0" xfId="0" applyNumberFormat="1" applyFill="1" applyAlignment="1">
      <alignment horizontal="center"/>
    </xf>
    <xf numFmtId="0" fontId="8" fillId="0" borderId="0" xfId="0" applyFont="1" applyBorder="1" applyAlignment="1">
      <alignment horizontal="left" vertical="center"/>
    </xf>
    <xf numFmtId="166" fontId="0" fillId="8" borderId="0" xfId="0" applyNumberFormat="1" applyFill="1" applyAlignment="1">
      <alignment horizontal="left"/>
    </xf>
    <xf numFmtId="167" fontId="1" fillId="2" borderId="0" xfId="0" applyNumberFormat="1" applyFont="1" applyFill="1" applyAlignment="1">
      <alignment horizontal="center"/>
    </xf>
    <xf numFmtId="167" fontId="0" fillId="3" borderId="0" xfId="0" applyNumberFormat="1" applyFill="1" applyAlignment="1">
      <alignment horizontal="center"/>
    </xf>
    <xf numFmtId="166" fontId="0" fillId="3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167" fontId="0" fillId="4" borderId="0" xfId="0" applyNumberFormat="1" applyFill="1" applyAlignment="1">
      <alignment horizontal="center"/>
    </xf>
    <xf numFmtId="166" fontId="0" fillId="4" borderId="0" xfId="0" applyNumberFormat="1" applyFill="1" applyAlignment="1">
      <alignment horizontal="center"/>
    </xf>
    <xf numFmtId="167" fontId="0" fillId="0" borderId="0" xfId="0" applyNumberFormat="1" applyAlignment="1">
      <alignment horizontal="center"/>
    </xf>
    <xf numFmtId="166" fontId="6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left"/>
    </xf>
    <xf numFmtId="165" fontId="3" fillId="3" borderId="0" xfId="0" applyNumberFormat="1" applyFont="1" applyFill="1" applyAlignment="1">
      <alignment horizontal="left"/>
    </xf>
    <xf numFmtId="0" fontId="0" fillId="0" borderId="0" xfId="0" applyAlignment="1">
      <alignment horizontal="left"/>
    </xf>
    <xf numFmtId="0" fontId="0" fillId="7" borderId="0" xfId="0" applyFill="1" applyBorder="1" applyAlignment="1">
      <alignment horizontal="left"/>
    </xf>
    <xf numFmtId="0" fontId="4" fillId="3" borderId="0" xfId="0" applyFont="1" applyFill="1" applyAlignment="1">
      <alignment horizontal="left"/>
    </xf>
    <xf numFmtId="0" fontId="5" fillId="0" borderId="0" xfId="0" applyFont="1" applyAlignment="1">
      <alignment horizontal="left"/>
    </xf>
    <xf numFmtId="166" fontId="4" fillId="3" borderId="0" xfId="0" applyNumberFormat="1" applyFont="1" applyFill="1" applyAlignment="1">
      <alignment horizontal="center" vertical="center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167" fontId="4" fillId="3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7E6E6"/>
      <color rgb="FFD9E1F2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330200</xdr:colOff>
          <xdr:row>0</xdr:row>
          <xdr:rowOff>133350</xdr:rowOff>
        </xdr:from>
        <xdr:to>
          <xdr:col>8</xdr:col>
          <xdr:colOff>768350</xdr:colOff>
          <xdr:row>1</xdr:row>
          <xdr:rowOff>177800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Add Time Entry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1498600</xdr:colOff>
          <xdr:row>0</xdr:row>
          <xdr:rowOff>139700</xdr:rowOff>
        </xdr:from>
        <xdr:to>
          <xdr:col>11</xdr:col>
          <xdr:colOff>711200</xdr:colOff>
          <xdr:row>2</xdr:row>
          <xdr:rowOff>6350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Run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1016000</xdr:colOff>
          <xdr:row>0</xdr:row>
          <xdr:rowOff>139700</xdr:rowOff>
        </xdr:from>
        <xdr:to>
          <xdr:col>9</xdr:col>
          <xdr:colOff>1257300</xdr:colOff>
          <xdr:row>2</xdr:row>
          <xdr:rowOff>6350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Add Week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755650</xdr:colOff>
          <xdr:row>0</xdr:row>
          <xdr:rowOff>139700</xdr:rowOff>
        </xdr:from>
        <xdr:to>
          <xdr:col>5</xdr:col>
          <xdr:colOff>3244850</xdr:colOff>
          <xdr:row>2</xdr:row>
          <xdr:rowOff>57150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Add Matter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68961-FBC7-4ADD-9EA6-440A76D96B06}">
  <sheetPr codeName="Sheet1"/>
  <dimension ref="A1:AB32"/>
  <sheetViews>
    <sheetView tabSelected="1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I7" sqref="I7"/>
    </sheetView>
  </sheetViews>
  <sheetFormatPr defaultRowHeight="14.5" x14ac:dyDescent="0.35"/>
  <cols>
    <col min="1" max="2" width="8.7265625" style="4"/>
    <col min="3" max="3" width="10.6328125" style="3" bestFit="1" customWidth="1"/>
    <col min="4" max="4" width="8.6328125" style="22" customWidth="1"/>
    <col min="5" max="5" width="11.54296875" style="7" customWidth="1"/>
    <col min="6" max="6" width="11.36328125" style="7" customWidth="1"/>
    <col min="7" max="7" width="8.7265625" style="14"/>
    <col min="8" max="8" width="19.453125" bestFit="1" customWidth="1"/>
    <col min="9" max="9" width="18" bestFit="1" customWidth="1"/>
    <col min="10" max="10" width="28.81640625" customWidth="1"/>
    <col min="11" max="11" width="9.36328125" bestFit="1" customWidth="1"/>
    <col min="12" max="12" width="10.26953125" style="63" bestFit="1" customWidth="1"/>
    <col min="13" max="13" width="19.6328125" bestFit="1" customWidth="1"/>
    <col min="14" max="14" width="11.36328125" bestFit="1" customWidth="1"/>
    <col min="16" max="16" width="12.453125" style="63" bestFit="1" customWidth="1"/>
    <col min="17" max="17" width="12.453125" customWidth="1"/>
    <col min="18" max="18" width="10.90625" bestFit="1" customWidth="1"/>
    <col min="22" max="22" width="8.7265625" style="73"/>
    <col min="23" max="23" width="8.7265625" style="63"/>
    <col min="24" max="24" width="8.7265625" style="4"/>
    <col min="25" max="25" width="11.453125" style="4" bestFit="1" customWidth="1"/>
    <col min="26" max="26" width="9.36328125" style="4" bestFit="1" customWidth="1"/>
    <col min="27" max="27" width="10.26953125" style="4" customWidth="1"/>
    <col min="28" max="28" width="45.26953125" customWidth="1"/>
  </cols>
  <sheetData>
    <row r="1" spans="1:28" s="11" customFormat="1" ht="18.5" x14ac:dyDescent="0.45">
      <c r="A1" s="79" t="s">
        <v>39</v>
      </c>
      <c r="B1" s="80"/>
      <c r="C1" s="9"/>
      <c r="D1" s="20"/>
      <c r="E1" s="36" t="s">
        <v>14</v>
      </c>
      <c r="F1" s="36"/>
      <c r="G1" s="37" t="s">
        <v>38</v>
      </c>
      <c r="L1" s="81" t="s">
        <v>34</v>
      </c>
      <c r="M1" s="82"/>
      <c r="N1" s="82"/>
      <c r="P1" s="81" t="s">
        <v>35</v>
      </c>
      <c r="Q1" s="83"/>
      <c r="R1" s="83"/>
      <c r="V1" s="84" t="s">
        <v>36</v>
      </c>
      <c r="W1" s="83"/>
      <c r="X1" s="83"/>
      <c r="Y1" s="83"/>
      <c r="Z1" s="83"/>
      <c r="AA1" s="83"/>
      <c r="AB1" s="83"/>
    </row>
    <row r="2" spans="1:28" s="11" customFormat="1" x14ac:dyDescent="0.35">
      <c r="C2" s="9"/>
      <c r="D2" s="20"/>
      <c r="E2" s="15" t="s">
        <v>31</v>
      </c>
      <c r="F2" s="15"/>
      <c r="G2" s="16" t="s">
        <v>30</v>
      </c>
      <c r="L2" s="82"/>
      <c r="M2" s="82"/>
      <c r="N2" s="82"/>
      <c r="P2" s="83"/>
      <c r="Q2" s="83"/>
      <c r="R2" s="83"/>
      <c r="V2" s="83"/>
      <c r="W2" s="83"/>
      <c r="X2" s="83"/>
      <c r="Y2" s="83"/>
      <c r="Z2" s="83"/>
      <c r="AA2" s="83"/>
      <c r="AB2" s="83"/>
    </row>
    <row r="3" spans="1:28" s="11" customFormat="1" x14ac:dyDescent="0.35">
      <c r="A3" s="8"/>
      <c r="B3" s="8"/>
      <c r="C3" s="9"/>
      <c r="D3" s="20"/>
      <c r="E3" s="10"/>
      <c r="F3" s="10"/>
      <c r="G3" s="13"/>
      <c r="L3" s="82"/>
      <c r="M3" s="82"/>
      <c r="N3" s="82"/>
      <c r="P3" s="83"/>
      <c r="Q3" s="83"/>
      <c r="R3" s="83"/>
      <c r="V3" s="83"/>
      <c r="W3" s="83"/>
      <c r="X3" s="83"/>
      <c r="Y3" s="83"/>
      <c r="Z3" s="83"/>
      <c r="AA3" s="83"/>
      <c r="AB3" s="83"/>
    </row>
    <row r="4" spans="1:28" s="1" customFormat="1" x14ac:dyDescent="0.35">
      <c r="A4" s="5" t="s">
        <v>0</v>
      </c>
      <c r="B4" s="5" t="s">
        <v>1</v>
      </c>
      <c r="C4" s="6" t="s">
        <v>2</v>
      </c>
      <c r="D4" s="21" t="s">
        <v>3</v>
      </c>
      <c r="E4" s="18" t="s">
        <v>4</v>
      </c>
      <c r="F4" s="18" t="s">
        <v>5</v>
      </c>
      <c r="G4" s="19" t="s">
        <v>6</v>
      </c>
      <c r="H4" s="5" t="s">
        <v>7</v>
      </c>
      <c r="I4" s="5" t="s">
        <v>32</v>
      </c>
      <c r="J4" s="5" t="s">
        <v>11</v>
      </c>
      <c r="K4" s="17" t="s">
        <v>37</v>
      </c>
      <c r="L4" s="19" t="s">
        <v>20</v>
      </c>
      <c r="M4" s="5" t="s">
        <v>21</v>
      </c>
      <c r="N4" s="5" t="s">
        <v>22</v>
      </c>
      <c r="P4" s="19" t="s">
        <v>23</v>
      </c>
      <c r="Q4" s="5" t="s">
        <v>21</v>
      </c>
      <c r="R4" s="5" t="s">
        <v>18</v>
      </c>
      <c r="V4" s="67" t="s">
        <v>3</v>
      </c>
      <c r="W4" s="19" t="s">
        <v>6</v>
      </c>
      <c r="X4" s="5" t="s">
        <v>8</v>
      </c>
      <c r="Y4" s="5" t="s">
        <v>7</v>
      </c>
      <c r="Z4" s="5" t="s">
        <v>9</v>
      </c>
      <c r="AA4" s="5" t="s">
        <v>26</v>
      </c>
      <c r="AB4" s="51" t="s">
        <v>10</v>
      </c>
    </row>
    <row r="5" spans="1:28" x14ac:dyDescent="0.35">
      <c r="K5" s="17" t="s">
        <v>37</v>
      </c>
    </row>
    <row r="6" spans="1:28" x14ac:dyDescent="0.35">
      <c r="A6" s="12" t="str">
        <f xml:space="preserve"> TEXT(MONTH(D6)*28,"mmmm")</f>
        <v>August</v>
      </c>
      <c r="B6" s="12">
        <v>1</v>
      </c>
      <c r="C6" s="28" t="str">
        <f xml:space="preserve"> IF(WEEKDAY(D6) = 1,"Sunday", IF(WEEKDAY(D6) = 2,"Monday", IF(WEEKDAY(D6) = 3, "Tuesday",IF(WEEKDAY(D6) = 4,"Wednesday",IF(WEEKDAY(D6) = 5,"Thursday",IF(WEEKDAY(D6) = 6,"Friday", IF(WEEKDAY(D6) = 7,"Saturday","")))))))</f>
        <v>Monday</v>
      </c>
      <c r="D6" s="29">
        <v>44046</v>
      </c>
      <c r="E6" s="15" t="s">
        <v>51</v>
      </c>
      <c r="F6" s="15"/>
      <c r="G6" s="16"/>
      <c r="H6" s="30"/>
      <c r="I6" s="30"/>
      <c r="J6" s="30"/>
      <c r="K6" s="17" t="s">
        <v>37</v>
      </c>
      <c r="L6" s="60"/>
      <c r="M6" s="29"/>
      <c r="N6" s="27"/>
      <c r="P6" s="69"/>
      <c r="Q6" s="27"/>
      <c r="R6" s="27"/>
      <c r="V6" s="68"/>
      <c r="W6" s="69"/>
      <c r="X6" s="70"/>
      <c r="Y6" s="70"/>
      <c r="Z6" s="70"/>
      <c r="AA6" s="70"/>
      <c r="AB6" s="27"/>
    </row>
    <row r="7" spans="1:28" x14ac:dyDescent="0.35">
      <c r="C7" s="44"/>
      <c r="D7" s="45"/>
      <c r="E7" s="24">
        <v>0.375</v>
      </c>
      <c r="F7" s="24">
        <v>0.41666666666666669</v>
      </c>
      <c r="G7" s="25">
        <f>IF(ISBLANK(F7) = FALSE,(F7-E7)*24,"")</f>
        <v>1.0000000000000004</v>
      </c>
      <c r="H7" s="26" t="s">
        <v>43</v>
      </c>
      <c r="I7" s="26"/>
      <c r="J7" s="52" t="s">
        <v>45</v>
      </c>
      <c r="K7" s="17" t="s">
        <v>37</v>
      </c>
      <c r="L7" s="61">
        <f>IF($M7&lt;&gt;"",SUMIFS($G$7:$G$10,$H$7:$H$10,$M7),"")</f>
        <v>1.0000000000000004</v>
      </c>
      <c r="M7" s="58" t="s">
        <v>43</v>
      </c>
      <c r="N7" s="26" t="str">
        <f>IF($M7&lt;&gt;"",VLOOKUP($M7,Matter_Code!A:F,3,0),"")</f>
        <v>000001.0000</v>
      </c>
      <c r="O7" s="65"/>
      <c r="P7" s="64">
        <f>IF($Q7&lt;&gt;"",SUMIFS($G$7:$G$30,$H$7:$H$30,$Q7),"")</f>
        <v>1.0000000000000004</v>
      </c>
      <c r="Q7" s="54" t="s">
        <v>43</v>
      </c>
      <c r="R7" s="23" t="str">
        <f>IF(NOT(ISBLANK(P7)),VLOOKUP(Q7,Matter_Code!A:F,2,FALSE),"")</f>
        <v>Billable</v>
      </c>
      <c r="V7" s="71">
        <f t="shared" ref="V7:V9" si="0">IF(ISNUMBER($W7) = TRUE,$D$6, "")</f>
        <v>44046</v>
      </c>
      <c r="W7" s="66">
        <v>1.0000000000000004</v>
      </c>
      <c r="X7" s="59" t="str">
        <f t="shared" ref="X7:X9" si="1">IF(ISBLANK($Y7) = FALSE,LEFT($Y7,6),"")</f>
        <v>000001</v>
      </c>
      <c r="Y7" s="54" t="s">
        <v>47</v>
      </c>
      <c r="Z7" s="59" t="str">
        <f>IF(ISNUMBER($W7) = TRUE,IF(VLOOKUP($M7,Matter_Code!A:E,5,0)="","",VLOOKUP($M7,Matter_Code!A:E,5,0)),"")</f>
        <v>2B</v>
      </c>
      <c r="AA7" s="59" t="str">
        <f>IF(ISNUMBER($W7) = TRUE,JURISDICTIONLOOKUP($M7,$H$7:$J$10,2),"")</f>
        <v>DC</v>
      </c>
      <c r="AB7" s="23" t="str">
        <f>IF(ISNUMBER($W7) = TRUE,MULTIPLEVLOOKUP($M7,$H$7:$J$10,3),"")</f>
        <v xml:space="preserve">Worked on task 2B. </v>
      </c>
    </row>
    <row r="8" spans="1:28" x14ac:dyDescent="0.35">
      <c r="C8" s="44"/>
      <c r="D8" s="45"/>
      <c r="E8" s="24">
        <f t="shared" ref="E8" si="2">IF(ISBLANK(F7) = FALSE, F7, "")</f>
        <v>0.41666666666666669</v>
      </c>
      <c r="F8" s="24">
        <v>0.4826388888888889</v>
      </c>
      <c r="G8" s="25">
        <f t="shared" ref="G8:G10" si="3">IF(ISBLANK(F8) = FALSE,(F8-E8)*24,"")</f>
        <v>1.583333333333333</v>
      </c>
      <c r="H8" s="26" t="s">
        <v>40</v>
      </c>
      <c r="I8" s="26"/>
      <c r="J8" s="26" t="s">
        <v>44</v>
      </c>
      <c r="K8" s="17" t="s">
        <v>37</v>
      </c>
      <c r="L8" s="61">
        <f t="shared" ref="L8:L10" si="4">IF($M8&lt;&gt;"",SUMIFS($G$7:$G$10,$H$7:$H$10,$M8),"")</f>
        <v>5.5833333333333321</v>
      </c>
      <c r="M8" s="58" t="s">
        <v>40</v>
      </c>
      <c r="N8" s="26" t="str">
        <f>IF($M8&lt;&gt;"",VLOOKUP($M8,Matter_Code!A:F,3,0),"")</f>
        <v>000001.0000</v>
      </c>
      <c r="O8" s="65"/>
      <c r="P8" s="64">
        <f t="shared" ref="P8:P30" si="5">IF($Q8&lt;&gt;"",SUMIFS($G$7:$G$30,$H$7:$H$30,$Q8),"")</f>
        <v>5.5833333333333321</v>
      </c>
      <c r="Q8" s="54" t="s">
        <v>40</v>
      </c>
      <c r="R8" s="23" t="str">
        <f>IF(NOT(ISBLANK(P8)),VLOOKUP(Q8,Matter_Code!A:F,2,FALSE),"")</f>
        <v>Billable</v>
      </c>
      <c r="V8" s="71">
        <f t="shared" si="0"/>
        <v>44046</v>
      </c>
      <c r="W8" s="66">
        <v>5.5833333333333321</v>
      </c>
      <c r="X8" s="59" t="str">
        <f t="shared" si="1"/>
        <v>000001</v>
      </c>
      <c r="Y8" s="54" t="s">
        <v>47</v>
      </c>
      <c r="Z8" s="59" t="str">
        <f>IF(ISNUMBER($W8) = TRUE,IF(VLOOKUP($M8,Matter_Code!A:E,5,0)="","",VLOOKUP($M8,Matter_Code!A:E,5,0)),"")</f>
        <v>2A</v>
      </c>
      <c r="AA8" s="59" t="str">
        <f>IF(ISNUMBER($W8) = TRUE,JURISDICTIONLOOKUP($M8,$H$7:$J$10,2),"")</f>
        <v>DC</v>
      </c>
      <c r="AB8" s="23" t="str">
        <f>IF(ISNUMBER($W8) = TRUE,MULTIPLEVLOOKUP($M8,$H$7:$J$10,3),"")</f>
        <v xml:space="preserve">Worked on task 2A. </v>
      </c>
    </row>
    <row r="9" spans="1:28" x14ac:dyDescent="0.35">
      <c r="C9" s="44"/>
      <c r="D9" s="45"/>
      <c r="E9" s="24">
        <v>0.5</v>
      </c>
      <c r="F9" s="24">
        <v>0.66666666666666663</v>
      </c>
      <c r="G9" s="25">
        <f t="shared" si="3"/>
        <v>3.9999999999999991</v>
      </c>
      <c r="H9" s="26" t="s">
        <v>40</v>
      </c>
      <c r="I9" s="26"/>
      <c r="J9" s="26" t="s">
        <v>44</v>
      </c>
      <c r="K9" s="17" t="s">
        <v>37</v>
      </c>
      <c r="L9" s="61">
        <f>IF($M9&lt;&gt;"",SUMIFS($G$7:$G$10,$H$7:$H$10,$M9),"")</f>
        <v>1.4166666666666696</v>
      </c>
      <c r="M9" s="58" t="s">
        <v>17</v>
      </c>
      <c r="N9" s="26" t="str">
        <f>IF($M9&lt;&gt;"",VLOOKUP($M9,Matter_Code!A:F,3,0),"")</f>
        <v>000000.0001</v>
      </c>
      <c r="O9" s="65"/>
      <c r="P9" s="64">
        <f t="shared" si="5"/>
        <v>1.4166666666666696</v>
      </c>
      <c r="Q9" s="54" t="s">
        <v>17</v>
      </c>
      <c r="R9" s="23" t="str">
        <f>IF(NOT(ISBLANK(P9)),VLOOKUP(Q9,Matter_Code!A:F,2,FALSE),"")</f>
        <v>Non-billable</v>
      </c>
      <c r="V9" s="71">
        <f t="shared" si="0"/>
        <v>44046</v>
      </c>
      <c r="W9" s="66">
        <v>1.4166666666666701</v>
      </c>
      <c r="X9" s="59" t="str">
        <f t="shared" si="1"/>
        <v>000000</v>
      </c>
      <c r="Y9" s="54" t="s">
        <v>46</v>
      </c>
      <c r="Z9" s="59" t="str">
        <f>IF(ISNUMBER($W9) = TRUE,IF(VLOOKUP($M9,Matter_Code!A:E,5,0)="","",VLOOKUP($M9,Matter_Code!A:E,5,0)),"")</f>
        <v/>
      </c>
      <c r="AA9" s="59" t="str">
        <f>IF(ISNUMBER($W9) = TRUE,JURISDICTIONLOOKUP($M9,$H$7:$J$10,2),"")</f>
        <v>DC</v>
      </c>
      <c r="AB9" s="23" t="str">
        <f>IF(ISNUMBER($W9) = TRUE,MULTIPLEVLOOKUP($M9,$H$7:$J$10,3),"")</f>
        <v xml:space="preserve">Holiday. </v>
      </c>
    </row>
    <row r="10" spans="1:28" x14ac:dyDescent="0.35">
      <c r="C10" s="44"/>
      <c r="D10" s="45"/>
      <c r="E10" s="24">
        <f>IF(ISBLANK(F9) = FALSE, F9, "")</f>
        <v>0.66666666666666663</v>
      </c>
      <c r="F10" s="24">
        <v>0.72569444444444453</v>
      </c>
      <c r="G10" s="25">
        <f t="shared" si="3"/>
        <v>1.4166666666666696</v>
      </c>
      <c r="H10" s="26" t="s">
        <v>17</v>
      </c>
      <c r="I10" s="26"/>
      <c r="J10" s="26" t="s">
        <v>17</v>
      </c>
      <c r="K10" s="17"/>
      <c r="L10" s="61" t="str">
        <f t="shared" si="4"/>
        <v/>
      </c>
      <c r="M10" s="58"/>
      <c r="N10" s="26" t="str">
        <f>IF($M10&lt;&gt;"",VLOOKUP($M10,Matter_Code!A:F,3,0),"")</f>
        <v/>
      </c>
      <c r="O10" s="65"/>
      <c r="P10" s="64"/>
      <c r="Q10" s="54"/>
      <c r="R10" s="23"/>
      <c r="V10" s="71" t="str">
        <f t="shared" ref="V10" si="6">IF(ISNUMBER($W10) = TRUE,$D$6, "")</f>
        <v/>
      </c>
      <c r="W10" s="66" t="s">
        <v>33</v>
      </c>
      <c r="X10" s="59" t="str">
        <f t="shared" ref="X10" si="7">IF(ISBLANK($Y10) = FALSE,LEFT($Y10,6),"")</f>
        <v/>
      </c>
      <c r="Y10" s="54" t="s">
        <v>33</v>
      </c>
      <c r="Z10" s="59"/>
      <c r="AA10" s="72"/>
      <c r="AB10" s="23" t="str">
        <f>IF(ISNUMBER($W10) = TRUE,MULTIPLEVLOOKUP($M10,$H$7:$J$10,3),"")</f>
        <v/>
      </c>
    </row>
    <row r="11" spans="1:28" x14ac:dyDescent="0.35">
      <c r="C11" s="31" t="str">
        <f t="shared" ref="C11:C29" si="8" xml:space="preserve"> IF(WEEKDAY(D11) = 1,"Sunday", IF(WEEKDAY(D11) = 2,"Monday", IF(WEEKDAY(D11) = 3, "Tuesday",IF(WEEKDAY(D11) = 4,"Wednesday",IF(WEEKDAY(D11) = 5,"Thursday",IF(WEEKDAY(D11) = 6,"Friday", IF(WEEKDAY(D11) = 7,"Saturday","")))))))</f>
        <v>Tuesday</v>
      </c>
      <c r="D11" s="32">
        <v>44047</v>
      </c>
      <c r="E11" s="33"/>
      <c r="F11" s="33"/>
      <c r="G11" s="33"/>
      <c r="H11" s="35"/>
      <c r="I11" s="35"/>
      <c r="J11" s="35"/>
      <c r="K11" s="17" t="s">
        <v>37</v>
      </c>
      <c r="L11" s="62"/>
      <c r="M11" s="35"/>
      <c r="N11" s="35"/>
      <c r="O11" s="65"/>
      <c r="P11" s="64"/>
      <c r="Q11" s="54"/>
      <c r="R11" s="23"/>
      <c r="V11" s="71"/>
      <c r="W11" s="72"/>
      <c r="X11" s="59"/>
      <c r="Y11" s="59"/>
      <c r="Z11" s="59"/>
      <c r="AA11" s="59"/>
      <c r="AB11" s="23"/>
    </row>
    <row r="12" spans="1:28" x14ac:dyDescent="0.35">
      <c r="C12" s="44"/>
      <c r="D12" s="45"/>
      <c r="E12" s="24" t="str">
        <f t="shared" ref="E12:E14" si="9">IF(ISBLANK(F11) = FALSE, F11, "")</f>
        <v/>
      </c>
      <c r="F12" s="24"/>
      <c r="G12" s="25" t="str">
        <f t="shared" ref="G12:G30" si="10">IF(ISBLANK(F12) = FALSE,(F12-E12)*24,"")</f>
        <v/>
      </c>
      <c r="H12" s="26"/>
      <c r="I12" s="26"/>
      <c r="J12" s="26"/>
      <c r="K12" s="17"/>
      <c r="L12" s="61" t="str">
        <f>IF($M12&lt;&gt;"",SUMIFS($G$12:$G$14,$H$12:$H$14,$M12),"")</f>
        <v/>
      </c>
      <c r="M12" s="58"/>
      <c r="N12" s="26" t="str">
        <f>IF($M12&lt;&gt;"",VLOOKUP($M12,Matter_Code!A:F,3,0),"")</f>
        <v/>
      </c>
      <c r="O12" s="65"/>
      <c r="P12" s="64"/>
      <c r="Q12" s="54"/>
      <c r="R12" s="23"/>
      <c r="V12" s="71" t="str">
        <f t="shared" ref="V12" si="11">IF(ISNUMBER($W12) = TRUE,$D$11, "")</f>
        <v/>
      </c>
      <c r="W12" s="66" t="s">
        <v>33</v>
      </c>
      <c r="X12" s="59" t="str">
        <f t="shared" ref="X12" si="12">IF(ISBLANK($Y12) = FALSE,LEFT($Y12,6),"")</f>
        <v/>
      </c>
      <c r="Y12" s="54" t="s">
        <v>33</v>
      </c>
      <c r="Z12" s="59" t="str">
        <f>IF(ISNUMBER($W12) = TRUE,IF(VLOOKUP($M12,Matter_Code!A:E,5,0)="","",VLOOKUP($M12,Matter_Code!A:E,5,0)),"")</f>
        <v/>
      </c>
      <c r="AA12" s="59" t="str">
        <f>IF(ISNUMBER($W12) = TRUE,JURISDICTIONLOOKUP($M12,$H$12:$J$14,2),"")</f>
        <v/>
      </c>
      <c r="AB12" s="23" t="str">
        <f>IF(ISNUMBER($W12) = TRUE,MULTIPLEVLOOKUP($M12,$H$12:$J$14,3),"")</f>
        <v/>
      </c>
    </row>
    <row r="13" spans="1:28" x14ac:dyDescent="0.35">
      <c r="C13" s="44"/>
      <c r="D13" s="45"/>
      <c r="E13" s="24" t="str">
        <f t="shared" si="9"/>
        <v/>
      </c>
      <c r="F13" s="24"/>
      <c r="G13" s="25" t="str">
        <f t="shared" si="10"/>
        <v/>
      </c>
      <c r="H13" s="26"/>
      <c r="I13" s="26"/>
      <c r="J13" s="26"/>
      <c r="K13" s="17"/>
      <c r="L13" s="61"/>
      <c r="M13" s="58"/>
      <c r="N13" s="26"/>
      <c r="O13" s="65"/>
      <c r="P13" s="64"/>
      <c r="Q13" s="54"/>
      <c r="R13" s="23"/>
      <c r="V13" s="71"/>
      <c r="W13" s="66"/>
      <c r="X13" s="59"/>
      <c r="Y13" s="54"/>
      <c r="Z13" s="59"/>
      <c r="AA13" s="59"/>
      <c r="AB13" s="23"/>
    </row>
    <row r="14" spans="1:28" x14ac:dyDescent="0.35">
      <c r="C14" s="44"/>
      <c r="D14" s="45"/>
      <c r="E14" s="24" t="str">
        <f t="shared" si="9"/>
        <v/>
      </c>
      <c r="F14" s="24"/>
      <c r="G14" s="25" t="str">
        <f t="shared" si="10"/>
        <v/>
      </c>
      <c r="H14" s="26"/>
      <c r="I14" s="26"/>
      <c r="J14" s="26"/>
      <c r="K14" s="17"/>
      <c r="L14" s="61" t="str">
        <f>IF($M14&lt;&gt;"",SUMIFS($G$12:$G$14,$H$12:$H$14,$M14),"")</f>
        <v/>
      </c>
      <c r="M14" s="58"/>
      <c r="N14" s="26" t="str">
        <f>IF($M14&lt;&gt;"",VLOOKUP($M14,Matter_Code!A:F,3,0),"")</f>
        <v/>
      </c>
      <c r="O14" s="65"/>
      <c r="P14" s="64"/>
      <c r="Q14" s="54"/>
      <c r="R14" s="23"/>
      <c r="V14" s="71"/>
      <c r="W14" s="72" t="s">
        <v>33</v>
      </c>
      <c r="X14" s="59"/>
      <c r="Y14" s="59" t="s">
        <v>33</v>
      </c>
      <c r="Z14" s="59"/>
      <c r="AA14" s="59"/>
      <c r="AB14" s="23"/>
    </row>
    <row r="15" spans="1:28" x14ac:dyDescent="0.35">
      <c r="C15" s="31" t="str">
        <f t="shared" si="8"/>
        <v>Wednesday</v>
      </c>
      <c r="D15" s="32">
        <v>44048</v>
      </c>
      <c r="E15" s="33"/>
      <c r="F15" s="33"/>
      <c r="G15" s="34"/>
      <c r="H15" s="35"/>
      <c r="I15" s="35"/>
      <c r="J15" s="35"/>
      <c r="K15" s="17" t="s">
        <v>37</v>
      </c>
      <c r="L15" s="62"/>
      <c r="M15" s="35"/>
      <c r="N15" s="35"/>
      <c r="O15" s="65"/>
      <c r="P15" s="64"/>
      <c r="Q15" s="54"/>
      <c r="R15" s="23"/>
      <c r="V15" s="71"/>
      <c r="W15" s="72"/>
      <c r="X15" s="59"/>
      <c r="Y15" s="59"/>
      <c r="Z15" s="59"/>
      <c r="AA15" s="59"/>
      <c r="AB15" s="23"/>
    </row>
    <row r="16" spans="1:28" x14ac:dyDescent="0.35">
      <c r="C16" s="44"/>
      <c r="D16" s="45"/>
      <c r="E16" s="24" t="str">
        <f t="shared" ref="E16:E30" si="13">IF(ISBLANK(F15) = FALSE, F15, "")</f>
        <v/>
      </c>
      <c r="F16" s="24"/>
      <c r="G16" s="25" t="str">
        <f t="shared" si="10"/>
        <v/>
      </c>
      <c r="H16" s="26"/>
      <c r="I16" s="26"/>
      <c r="J16" s="26"/>
      <c r="K16" s="17" t="s">
        <v>37</v>
      </c>
      <c r="L16" s="61"/>
      <c r="M16" s="26"/>
      <c r="N16" s="26"/>
      <c r="O16" s="65"/>
      <c r="P16" s="64"/>
      <c r="Q16" s="54"/>
      <c r="R16" s="23"/>
      <c r="V16" s="71"/>
      <c r="W16" s="72"/>
      <c r="X16" s="59"/>
      <c r="Y16" s="59"/>
      <c r="Z16" s="59"/>
      <c r="AA16" s="59"/>
      <c r="AB16" s="23"/>
    </row>
    <row r="17" spans="3:28" x14ac:dyDescent="0.35">
      <c r="C17" s="44"/>
      <c r="D17" s="45"/>
      <c r="E17" s="24" t="str">
        <f t="shared" si="13"/>
        <v/>
      </c>
      <c r="F17" s="24"/>
      <c r="G17" s="25" t="str">
        <f t="shared" si="10"/>
        <v/>
      </c>
      <c r="H17" s="26"/>
      <c r="I17" s="26"/>
      <c r="J17" s="26"/>
      <c r="K17" s="17" t="s">
        <v>37</v>
      </c>
      <c r="L17" s="61"/>
      <c r="M17" s="26"/>
      <c r="N17" s="26"/>
      <c r="O17" s="65"/>
      <c r="P17" s="64"/>
      <c r="Q17" s="54"/>
      <c r="R17" s="23"/>
      <c r="V17" s="71"/>
      <c r="W17" s="72"/>
      <c r="X17" s="59"/>
      <c r="Y17" s="59"/>
      <c r="Z17" s="59"/>
      <c r="AA17" s="59"/>
      <c r="AB17" s="23"/>
    </row>
    <row r="18" spans="3:28" x14ac:dyDescent="0.35">
      <c r="C18" s="44"/>
      <c r="D18" s="45"/>
      <c r="E18" s="24" t="str">
        <f t="shared" si="13"/>
        <v/>
      </c>
      <c r="F18" s="24"/>
      <c r="G18" s="25" t="str">
        <f t="shared" si="10"/>
        <v/>
      </c>
      <c r="H18" s="26"/>
      <c r="I18" s="26"/>
      <c r="J18" s="26"/>
      <c r="K18" s="17" t="s">
        <v>37</v>
      </c>
      <c r="L18" s="61"/>
      <c r="M18" s="26"/>
      <c r="N18" s="26"/>
      <c r="O18" s="65"/>
      <c r="P18" s="64"/>
      <c r="Q18" s="54"/>
      <c r="R18" s="23"/>
      <c r="V18" s="71"/>
      <c r="W18" s="72"/>
      <c r="X18" s="59"/>
      <c r="Y18" s="59"/>
      <c r="Z18" s="59"/>
      <c r="AA18" s="59"/>
      <c r="AB18" s="23"/>
    </row>
    <row r="19" spans="3:28" x14ac:dyDescent="0.35">
      <c r="C19" s="31" t="str">
        <f t="shared" si="8"/>
        <v>Thursday</v>
      </c>
      <c r="D19" s="32">
        <v>44049</v>
      </c>
      <c r="E19" s="33"/>
      <c r="F19" s="33"/>
      <c r="G19" s="34"/>
      <c r="H19" s="35"/>
      <c r="I19" s="35"/>
      <c r="J19" s="35"/>
      <c r="K19" s="17" t="s">
        <v>37</v>
      </c>
      <c r="L19" s="62"/>
      <c r="M19" s="35"/>
      <c r="N19" s="35"/>
      <c r="O19" s="65"/>
      <c r="P19" s="64"/>
      <c r="Q19" s="54"/>
      <c r="R19" s="23"/>
      <c r="V19" s="71"/>
      <c r="W19" s="72"/>
      <c r="X19" s="59"/>
      <c r="Y19" s="59"/>
      <c r="Z19" s="59"/>
      <c r="AA19" s="59"/>
      <c r="AB19" s="23"/>
    </row>
    <row r="20" spans="3:28" x14ac:dyDescent="0.35">
      <c r="C20" s="44"/>
      <c r="D20" s="45"/>
      <c r="E20" s="24" t="str">
        <f t="shared" si="13"/>
        <v/>
      </c>
      <c r="F20" s="24"/>
      <c r="G20" s="25" t="str">
        <f t="shared" si="10"/>
        <v/>
      </c>
      <c r="H20" s="26"/>
      <c r="I20" s="26"/>
      <c r="J20" s="26"/>
      <c r="K20" s="17" t="s">
        <v>37</v>
      </c>
      <c r="L20" s="61"/>
      <c r="M20" s="26"/>
      <c r="N20" s="26"/>
      <c r="O20" s="65"/>
      <c r="P20" s="64"/>
      <c r="Q20" s="54"/>
      <c r="R20" s="23"/>
      <c r="V20" s="71"/>
      <c r="W20" s="72"/>
      <c r="X20" s="59"/>
      <c r="Y20" s="59"/>
      <c r="Z20" s="59"/>
      <c r="AA20" s="59"/>
      <c r="AB20" s="23"/>
    </row>
    <row r="21" spans="3:28" x14ac:dyDescent="0.35">
      <c r="C21" s="44"/>
      <c r="D21" s="45"/>
      <c r="E21" s="24" t="str">
        <f t="shared" si="13"/>
        <v/>
      </c>
      <c r="F21" s="24"/>
      <c r="G21" s="25" t="str">
        <f t="shared" si="10"/>
        <v/>
      </c>
      <c r="H21" s="26"/>
      <c r="I21" s="26"/>
      <c r="J21" s="26"/>
      <c r="K21" s="17" t="s">
        <v>37</v>
      </c>
      <c r="L21" s="61"/>
      <c r="M21" s="26"/>
      <c r="N21" s="26"/>
      <c r="O21" s="65"/>
      <c r="P21" s="64"/>
      <c r="Q21" s="54"/>
      <c r="R21" s="23"/>
      <c r="V21" s="71"/>
      <c r="W21" s="72"/>
      <c r="X21" s="59"/>
      <c r="Y21" s="59"/>
      <c r="Z21" s="59"/>
      <c r="AA21" s="59"/>
      <c r="AB21" s="23"/>
    </row>
    <row r="22" spans="3:28" x14ac:dyDescent="0.35">
      <c r="C22" s="44"/>
      <c r="D22" s="45"/>
      <c r="E22" s="24" t="str">
        <f t="shared" si="13"/>
        <v/>
      </c>
      <c r="F22" s="24"/>
      <c r="G22" s="25" t="str">
        <f t="shared" si="10"/>
        <v/>
      </c>
      <c r="H22" s="26"/>
      <c r="I22" s="26"/>
      <c r="J22" s="26"/>
      <c r="K22" s="17" t="s">
        <v>37</v>
      </c>
      <c r="L22" s="61"/>
      <c r="M22" s="26"/>
      <c r="N22" s="26"/>
      <c r="O22" s="65"/>
      <c r="P22" s="64"/>
      <c r="Q22" s="54"/>
      <c r="R22" s="23"/>
      <c r="V22" s="71"/>
      <c r="W22" s="72"/>
      <c r="X22" s="59"/>
      <c r="Y22" s="59"/>
      <c r="Z22" s="59"/>
      <c r="AA22" s="59"/>
      <c r="AB22" s="23"/>
    </row>
    <row r="23" spans="3:28" x14ac:dyDescent="0.35">
      <c r="C23" s="31" t="str">
        <f t="shared" si="8"/>
        <v>Friday</v>
      </c>
      <c r="D23" s="32">
        <v>44050</v>
      </c>
      <c r="E23" s="33"/>
      <c r="F23" s="33"/>
      <c r="G23" s="34"/>
      <c r="H23" s="35"/>
      <c r="I23" s="35"/>
      <c r="J23" s="35"/>
      <c r="K23" s="17" t="s">
        <v>37</v>
      </c>
      <c r="L23" s="62"/>
      <c r="M23" s="35"/>
      <c r="N23" s="35"/>
      <c r="O23" s="65"/>
      <c r="P23" s="64"/>
      <c r="Q23" s="54"/>
      <c r="R23" s="23"/>
      <c r="V23" s="71"/>
      <c r="W23" s="72"/>
      <c r="X23" s="59"/>
      <c r="Y23" s="59"/>
      <c r="Z23" s="59"/>
      <c r="AA23" s="59"/>
      <c r="AB23" s="23"/>
    </row>
    <row r="24" spans="3:28" x14ac:dyDescent="0.35">
      <c r="C24" s="44"/>
      <c r="D24" s="45"/>
      <c r="E24" s="24" t="str">
        <f t="shared" si="13"/>
        <v/>
      </c>
      <c r="F24" s="24"/>
      <c r="G24" s="25" t="str">
        <f t="shared" si="10"/>
        <v/>
      </c>
      <c r="H24" s="26"/>
      <c r="I24" s="26"/>
      <c r="J24" s="26"/>
      <c r="K24" s="17" t="s">
        <v>37</v>
      </c>
      <c r="L24" s="61"/>
      <c r="M24" s="26"/>
      <c r="N24" s="26"/>
      <c r="O24" s="65"/>
      <c r="P24" s="64"/>
      <c r="Q24" s="54"/>
      <c r="R24" s="23"/>
      <c r="V24" s="71"/>
      <c r="W24" s="72"/>
      <c r="X24" s="59"/>
      <c r="Y24" s="59"/>
      <c r="Z24" s="59"/>
      <c r="AA24" s="59"/>
      <c r="AB24" s="23"/>
    </row>
    <row r="25" spans="3:28" x14ac:dyDescent="0.35">
      <c r="C25" s="44"/>
      <c r="D25" s="45"/>
      <c r="E25" s="24" t="str">
        <f t="shared" si="13"/>
        <v/>
      </c>
      <c r="F25" s="24"/>
      <c r="G25" s="25" t="str">
        <f t="shared" si="10"/>
        <v/>
      </c>
      <c r="H25" s="26"/>
      <c r="I25" s="26"/>
      <c r="J25" s="26"/>
      <c r="K25" s="17" t="s">
        <v>37</v>
      </c>
      <c r="L25" s="61"/>
      <c r="M25" s="26"/>
      <c r="N25" s="26"/>
      <c r="O25" s="65"/>
      <c r="P25" s="64"/>
      <c r="Q25" s="54"/>
      <c r="R25" s="23"/>
      <c r="V25" s="71"/>
      <c r="W25" s="72"/>
      <c r="X25" s="59"/>
      <c r="Y25" s="59"/>
      <c r="Z25" s="59"/>
      <c r="AA25" s="59"/>
      <c r="AB25" s="23"/>
    </row>
    <row r="26" spans="3:28" x14ac:dyDescent="0.35">
      <c r="C26" s="44"/>
      <c r="D26" s="45"/>
      <c r="E26" s="24" t="str">
        <f t="shared" si="13"/>
        <v/>
      </c>
      <c r="F26" s="24"/>
      <c r="G26" s="25" t="str">
        <f t="shared" si="10"/>
        <v/>
      </c>
      <c r="H26" s="26"/>
      <c r="I26" s="26"/>
      <c r="J26" s="26"/>
      <c r="K26" s="17" t="s">
        <v>37</v>
      </c>
      <c r="L26" s="61"/>
      <c r="M26" s="26"/>
      <c r="N26" s="26"/>
      <c r="O26" s="65"/>
      <c r="P26" s="64"/>
      <c r="Q26" s="54"/>
      <c r="R26" s="23"/>
      <c r="V26" s="71"/>
      <c r="W26" s="72"/>
      <c r="X26" s="59"/>
      <c r="Y26" s="59"/>
      <c r="Z26" s="59"/>
      <c r="AA26" s="59"/>
      <c r="AB26" s="23"/>
    </row>
    <row r="27" spans="3:28" x14ac:dyDescent="0.35">
      <c r="C27" s="31" t="str">
        <f t="shared" si="8"/>
        <v>Saturday</v>
      </c>
      <c r="D27" s="32">
        <v>44051</v>
      </c>
      <c r="E27" s="33"/>
      <c r="F27" s="33"/>
      <c r="G27" s="34"/>
      <c r="H27" s="35"/>
      <c r="I27" s="35"/>
      <c r="J27" s="35"/>
      <c r="K27" s="17" t="s">
        <v>37</v>
      </c>
      <c r="L27" s="62"/>
      <c r="M27" s="35"/>
      <c r="N27" s="35"/>
      <c r="O27" s="65"/>
      <c r="P27" s="64"/>
      <c r="Q27" s="54"/>
      <c r="R27" s="23"/>
      <c r="V27" s="71"/>
      <c r="W27" s="72"/>
      <c r="X27" s="59"/>
      <c r="Y27" s="59"/>
      <c r="Z27" s="59"/>
      <c r="AA27" s="59"/>
      <c r="AB27" s="23"/>
    </row>
    <row r="28" spans="3:28" x14ac:dyDescent="0.35">
      <c r="C28" s="44"/>
      <c r="D28" s="45"/>
      <c r="E28" s="24" t="str">
        <f t="shared" si="13"/>
        <v/>
      </c>
      <c r="F28" s="24"/>
      <c r="G28" s="25" t="str">
        <f t="shared" si="10"/>
        <v/>
      </c>
      <c r="H28" s="26"/>
      <c r="I28" s="26"/>
      <c r="J28" s="26"/>
      <c r="K28" s="17" t="s">
        <v>37</v>
      </c>
      <c r="L28" s="61"/>
      <c r="M28" s="26"/>
      <c r="N28" s="26"/>
      <c r="O28" s="65"/>
      <c r="P28" s="64"/>
      <c r="Q28" s="54"/>
      <c r="R28" s="23"/>
      <c r="V28" s="71"/>
      <c r="W28" s="72"/>
      <c r="X28" s="59"/>
      <c r="Y28" s="59"/>
      <c r="Z28" s="59"/>
      <c r="AA28" s="59"/>
      <c r="AB28" s="23"/>
    </row>
    <row r="29" spans="3:28" x14ac:dyDescent="0.35">
      <c r="C29" s="31" t="str">
        <f t="shared" si="8"/>
        <v>Sunday</v>
      </c>
      <c r="D29" s="32">
        <v>44052</v>
      </c>
      <c r="E29" s="33"/>
      <c r="F29" s="33"/>
      <c r="G29" s="34"/>
      <c r="H29" s="35"/>
      <c r="I29" s="35"/>
      <c r="J29" s="35"/>
      <c r="K29" s="17" t="s">
        <v>37</v>
      </c>
      <c r="L29" s="62"/>
      <c r="M29" s="35"/>
      <c r="N29" s="35"/>
      <c r="O29" s="65"/>
      <c r="P29" s="64"/>
      <c r="Q29" s="54"/>
      <c r="R29" s="23"/>
      <c r="V29" s="71"/>
      <c r="W29" s="72"/>
      <c r="X29" s="59"/>
      <c r="Y29" s="59"/>
      <c r="Z29" s="59"/>
      <c r="AA29" s="59"/>
      <c r="AB29" s="23"/>
    </row>
    <row r="30" spans="3:28" x14ac:dyDescent="0.35">
      <c r="C30" s="44"/>
      <c r="D30" s="45"/>
      <c r="E30" s="24" t="str">
        <f t="shared" si="13"/>
        <v/>
      </c>
      <c r="F30" s="24"/>
      <c r="G30" s="25" t="str">
        <f t="shared" si="10"/>
        <v/>
      </c>
      <c r="H30" s="26"/>
      <c r="I30" s="26"/>
      <c r="J30" s="26"/>
      <c r="K30" s="17" t="s">
        <v>37</v>
      </c>
      <c r="L30" s="61"/>
      <c r="M30" s="26"/>
      <c r="N30" s="26"/>
      <c r="O30" s="65"/>
      <c r="P30" s="64"/>
      <c r="Q30" s="54"/>
      <c r="R30" s="23"/>
      <c r="V30" s="71"/>
      <c r="W30" s="72"/>
      <c r="X30" s="59"/>
      <c r="Y30" s="59"/>
      <c r="Z30" s="59"/>
      <c r="AA30" s="59"/>
      <c r="AB30" s="23"/>
    </row>
    <row r="32" spans="3:28" x14ac:dyDescent="0.35">
      <c r="E32" s="49" t="s">
        <v>24</v>
      </c>
      <c r="G32" s="14">
        <f>SUM(G7:G30)</f>
        <v>8.0000000000000018</v>
      </c>
      <c r="P32" s="74" t="s">
        <v>25</v>
      </c>
      <c r="R32">
        <f>SUMIFS(P7:P30,R7:R30,"=Billable")</f>
        <v>6.5833333333333321</v>
      </c>
    </row>
  </sheetData>
  <mergeCells count="4">
    <mergeCell ref="A1:B1"/>
    <mergeCell ref="L1:N3"/>
    <mergeCell ref="P1:R3"/>
    <mergeCell ref="V1:AB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AddLineBelow">
                <anchor moveWithCells="1" sizeWithCells="1">
                  <from>
                    <xdr:col>7</xdr:col>
                    <xdr:colOff>330200</xdr:colOff>
                    <xdr:row>0</xdr:row>
                    <xdr:rowOff>133350</xdr:rowOff>
                  </from>
                  <to>
                    <xdr:col>8</xdr:col>
                    <xdr:colOff>768350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5" name="Button 15">
              <controlPr defaultSize="0" print="0" autoFill="0" autoPict="0" macro="[0]!SummarizeDaily">
                <anchor moveWithCells="1" sizeWithCells="1">
                  <from>
                    <xdr:col>9</xdr:col>
                    <xdr:colOff>1498600</xdr:colOff>
                    <xdr:row>0</xdr:row>
                    <xdr:rowOff>139700</xdr:rowOff>
                  </from>
                  <to>
                    <xdr:col>11</xdr:col>
                    <xdr:colOff>711200</xdr:colOff>
                    <xdr:row>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6" name="Button 22">
              <controlPr defaultSize="0" print="0" autoFill="0" autoPict="0" macro="[0]!InsertWeek">
                <anchor moveWithCells="1" sizeWithCells="1">
                  <from>
                    <xdr:col>8</xdr:col>
                    <xdr:colOff>1016000</xdr:colOff>
                    <xdr:row>0</xdr:row>
                    <xdr:rowOff>139700</xdr:rowOff>
                  </from>
                  <to>
                    <xdr:col>9</xdr:col>
                    <xdr:colOff>1257300</xdr:colOff>
                    <xdr:row>2</xdr:row>
                    <xdr:rowOff>6350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AC1FBB6-1B0E-4C6E-A7C7-2D563D7E7666}">
          <x14:formula1>
            <xm:f>Jurisdiction!$A$5:$A$99</xm:f>
          </x14:formula1>
          <xm:sqref>I7:I10 I16:I18 G2 I30 I28 I24:I26 I20:I22 I12:I14</xm:sqref>
        </x14:dataValidation>
        <x14:dataValidation type="list" allowBlank="1" showInputMessage="1" showErrorMessage="1" xr:uid="{3E65C0CC-C165-4C0C-A6C6-275C668AEE2D}">
          <x14:formula1>
            <xm:f>Matter_Code!$A$5:$A$8</xm:f>
          </x14:formula1>
          <xm:sqref>H21 H1:H14</xm:sqref>
        </x14:dataValidation>
        <x14:dataValidation type="list" allowBlank="1" showInputMessage="1" showErrorMessage="1" xr:uid="{0DD2755C-A4CC-46AD-B600-2BA63996E184}">
          <x14:formula1>
            <xm:f>Matter_Code!$A$5:$A$95</xm:f>
          </x14:formula1>
          <xm:sqref>H28 H16:H18 H24:H26 H30 H20 H22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8266B-DEE9-4E74-B18C-49BE73BD3B85}">
  <sheetPr codeName="Sheet2"/>
  <dimension ref="A1:H9"/>
  <sheetViews>
    <sheetView workbookViewId="0">
      <selection activeCell="F8" sqref="F8"/>
    </sheetView>
  </sheetViews>
  <sheetFormatPr defaultRowHeight="14.5" x14ac:dyDescent="0.35"/>
  <cols>
    <col min="1" max="1" width="36.08984375" bestFit="1" customWidth="1"/>
    <col min="2" max="2" width="12.453125" bestFit="1" customWidth="1"/>
    <col min="3" max="3" width="11.453125" style="2" bestFit="1" customWidth="1"/>
    <col min="5" max="5" width="10.7265625" style="2" bestFit="1" customWidth="1"/>
    <col min="6" max="6" width="54.90625" style="77" customWidth="1"/>
  </cols>
  <sheetData>
    <row r="1" spans="1:8" s="11" customFormat="1" ht="18.5" x14ac:dyDescent="0.45">
      <c r="A1" s="79" t="str">
        <f>Time_Entry!A1</f>
        <v>&lt;COMPANY&gt;</v>
      </c>
      <c r="B1" s="80"/>
      <c r="C1" s="39" t="s">
        <v>14</v>
      </c>
      <c r="D1" s="36"/>
      <c r="E1" s="39" t="str">
        <f>Time_Entry!G1</f>
        <v>&lt;NAME&gt;</v>
      </c>
      <c r="F1" s="75"/>
    </row>
    <row r="2" spans="1:8" s="11" customFormat="1" x14ac:dyDescent="0.35">
      <c r="C2" s="40" t="s">
        <v>12</v>
      </c>
      <c r="D2" s="15"/>
      <c r="E2" s="40" t="str">
        <f>Time_Entry!G2</f>
        <v>DC</v>
      </c>
      <c r="F2" s="75"/>
    </row>
    <row r="3" spans="1:8" s="11" customFormat="1" x14ac:dyDescent="0.35">
      <c r="A3" s="8"/>
      <c r="B3" s="8"/>
      <c r="C3" s="38"/>
      <c r="D3" s="20"/>
      <c r="E3" s="38"/>
      <c r="F3" s="76"/>
      <c r="G3" s="10"/>
      <c r="H3" s="13"/>
    </row>
    <row r="4" spans="1:8" s="1" customFormat="1" x14ac:dyDescent="0.35">
      <c r="A4" s="46" t="s">
        <v>15</v>
      </c>
      <c r="B4" s="46" t="s">
        <v>16</v>
      </c>
      <c r="C4" s="47" t="s">
        <v>7</v>
      </c>
      <c r="D4" s="46" t="s">
        <v>8</v>
      </c>
      <c r="E4" s="47" t="s">
        <v>9</v>
      </c>
      <c r="F4" s="46" t="s">
        <v>10</v>
      </c>
    </row>
    <row r="5" spans="1:8" x14ac:dyDescent="0.35">
      <c r="A5" s="41" t="s">
        <v>40</v>
      </c>
      <c r="B5" s="42" t="s">
        <v>18</v>
      </c>
      <c r="C5" s="43" t="s">
        <v>47</v>
      </c>
      <c r="D5" s="42" t="str">
        <f>IF(ISBLANK(C5) = FALSE, LEFT(C5,6),"")</f>
        <v>000001</v>
      </c>
      <c r="E5" s="43" t="s">
        <v>41</v>
      </c>
      <c r="F5" s="48" t="s">
        <v>44</v>
      </c>
      <c r="G5" s="1"/>
    </row>
    <row r="6" spans="1:8" x14ac:dyDescent="0.35">
      <c r="A6" s="41" t="s">
        <v>43</v>
      </c>
      <c r="B6" s="42" t="s">
        <v>18</v>
      </c>
      <c r="C6" s="43" t="s">
        <v>47</v>
      </c>
      <c r="D6" s="42" t="str">
        <f t="shared" ref="D6:D7" si="0">IF(ISBLANK(C6) = FALSE, LEFT(C6,6),"")</f>
        <v>000001</v>
      </c>
      <c r="E6" s="43" t="s">
        <v>42</v>
      </c>
      <c r="F6" s="48" t="s">
        <v>45</v>
      </c>
      <c r="G6" s="1"/>
    </row>
    <row r="7" spans="1:8" x14ac:dyDescent="0.35">
      <c r="A7" s="41" t="s">
        <v>17</v>
      </c>
      <c r="B7" s="42" t="s">
        <v>19</v>
      </c>
      <c r="C7" s="43" t="s">
        <v>46</v>
      </c>
      <c r="D7" s="42" t="str">
        <f t="shared" si="0"/>
        <v>000000</v>
      </c>
      <c r="E7" s="43"/>
      <c r="F7" s="48" t="s">
        <v>17</v>
      </c>
      <c r="G7" s="1"/>
    </row>
    <row r="8" spans="1:8" x14ac:dyDescent="0.35">
      <c r="A8" s="41" t="s">
        <v>48</v>
      </c>
      <c r="B8" s="42" t="s">
        <v>19</v>
      </c>
      <c r="C8" s="43" t="s">
        <v>49</v>
      </c>
      <c r="D8" s="42" t="str">
        <f>IF(ISBLANK(C8) = FALSE, LEFT(C8,6),"")</f>
        <v>000000</v>
      </c>
      <c r="E8" s="43"/>
      <c r="F8" s="78"/>
      <c r="G8" s="1"/>
    </row>
    <row r="9" spans="1:8" x14ac:dyDescent="0.35">
      <c r="G9" s="1"/>
    </row>
  </sheetData>
  <mergeCells count="1">
    <mergeCell ref="A1:B1"/>
  </mergeCells>
  <dataValidations count="1">
    <dataValidation type="list" allowBlank="1" showInputMessage="1" showErrorMessage="1" sqref="B5:B8" xr:uid="{5A3D603E-A053-4C31-ACF4-8168ED1A4C5B}">
      <formula1>"Non-billable, Billable"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AddMatter">
                <anchor moveWithCells="1" sizeWithCells="1">
                  <from>
                    <xdr:col>5</xdr:col>
                    <xdr:colOff>755650</xdr:colOff>
                    <xdr:row>0</xdr:row>
                    <xdr:rowOff>139700</xdr:rowOff>
                  </from>
                  <to>
                    <xdr:col>5</xdr:col>
                    <xdr:colOff>3244850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B5524-3C84-4A13-8475-297B3E59BEF8}">
  <sheetPr codeName="Sheet4"/>
  <dimension ref="A1:H8"/>
  <sheetViews>
    <sheetView workbookViewId="0">
      <selection activeCell="A9" sqref="A9:XFD9"/>
    </sheetView>
  </sheetViews>
  <sheetFormatPr defaultRowHeight="14.5" x14ac:dyDescent="0.35"/>
  <cols>
    <col min="1" max="1" width="11.08984375" bestFit="1" customWidth="1"/>
  </cols>
  <sheetData>
    <row r="1" spans="1:8" s="11" customFormat="1" ht="18.5" x14ac:dyDescent="0.45">
      <c r="A1" s="79" t="str">
        <f>Time_Entry!A1</f>
        <v>&lt;COMPANY&gt;</v>
      </c>
      <c r="B1" s="80"/>
      <c r="C1" s="39" t="s">
        <v>14</v>
      </c>
      <c r="D1" s="36"/>
      <c r="E1" s="36" t="str">
        <f>Time_Entry!G1</f>
        <v>&lt;NAME&gt;</v>
      </c>
    </row>
    <row r="2" spans="1:8" s="11" customFormat="1" x14ac:dyDescent="0.35">
      <c r="C2" s="40" t="s">
        <v>12</v>
      </c>
      <c r="D2" s="15"/>
      <c r="E2" s="16" t="str">
        <f>Time_Entry!G2</f>
        <v>DC</v>
      </c>
    </row>
    <row r="3" spans="1:8" s="11" customFormat="1" x14ac:dyDescent="0.35">
      <c r="A3" s="8"/>
      <c r="B3" s="8"/>
      <c r="C3" s="38"/>
      <c r="D3" s="20"/>
      <c r="E3" s="38"/>
      <c r="F3" s="10"/>
      <c r="G3" s="10"/>
      <c r="H3" s="13"/>
    </row>
    <row r="4" spans="1:8" x14ac:dyDescent="0.35">
      <c r="A4" s="51" t="s">
        <v>27</v>
      </c>
    </row>
    <row r="5" spans="1:8" x14ac:dyDescent="0.35">
      <c r="A5" s="26" t="s">
        <v>28</v>
      </c>
    </row>
    <row r="6" spans="1:8" x14ac:dyDescent="0.35">
      <c r="A6" s="26" t="s">
        <v>13</v>
      </c>
    </row>
    <row r="7" spans="1:8" x14ac:dyDescent="0.35">
      <c r="A7" s="26" t="s">
        <v>29</v>
      </c>
    </row>
    <row r="8" spans="1:8" x14ac:dyDescent="0.35">
      <c r="A8" s="26" t="s">
        <v>30</v>
      </c>
    </row>
  </sheetData>
  <mergeCells count="1">
    <mergeCell ref="A1:B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B86AB-99B3-48B4-A16A-DA1DB8495ECC}">
  <sheetPr codeName="wsTemplate"/>
  <dimension ref="A1:AB26"/>
  <sheetViews>
    <sheetView topLeftCell="A7" workbookViewId="0">
      <selection activeCell="D23" sqref="D23"/>
    </sheetView>
  </sheetViews>
  <sheetFormatPr defaultRowHeight="14.5" x14ac:dyDescent="0.35"/>
  <cols>
    <col min="3" max="3" width="10.6328125" bestFit="1" customWidth="1"/>
    <col min="5" max="5" width="10.90625" bestFit="1" customWidth="1"/>
  </cols>
  <sheetData>
    <row r="1" spans="1:28" ht="15" thickBot="1" x14ac:dyDescent="0.4">
      <c r="A1" s="12" t="e">
        <f xml:space="preserve"> TEXT(MONTH(D1)*28,"mmmm")</f>
        <v>#VALUE!</v>
      </c>
      <c r="B1" s="12">
        <v>1</v>
      </c>
      <c r="C1" s="28" t="e">
        <f xml:space="preserve"> IF(WEEKDAY(D1) = 1,"Sunday", IF(WEEKDAY(D1) = 2,"Monday", IF(WEEKDAY(D1) = 3, "Tuesday",IF(WEEKDAY(D1) = 4,"Wednesday",IF(WEEKDAY(D1) = 5,"Thursday",IF(WEEKDAY(D1) = 6,"Friday", IF(WEEKDAY(D1) = 7,"Saturday","")))))))</f>
        <v>#VALUE!</v>
      </c>
      <c r="D1" s="29" t="s">
        <v>50</v>
      </c>
      <c r="E1" s="15"/>
      <c r="F1" s="15"/>
      <c r="G1" s="16"/>
      <c r="H1" s="30"/>
      <c r="I1" s="30"/>
      <c r="J1" s="30"/>
      <c r="L1" s="12"/>
      <c r="M1" s="29"/>
      <c r="N1" s="27"/>
      <c r="P1" s="27"/>
      <c r="Q1" s="27"/>
      <c r="R1" s="27"/>
      <c r="V1" s="27"/>
      <c r="W1" s="27"/>
      <c r="X1" s="27"/>
      <c r="Y1" s="27"/>
      <c r="Z1" s="27"/>
      <c r="AA1" s="27"/>
      <c r="AB1" s="27"/>
    </row>
    <row r="2" spans="1:28" ht="15" thickBot="1" x14ac:dyDescent="0.4">
      <c r="A2" s="4"/>
      <c r="B2" s="4"/>
      <c r="C2" s="44"/>
      <c r="D2" s="45"/>
      <c r="E2" s="24"/>
      <c r="F2" s="24"/>
      <c r="G2" s="25" t="str">
        <f>IF(ISBLANK(F2) = FALSE,(F2-E2)*24,"")</f>
        <v/>
      </c>
      <c r="H2" s="26"/>
      <c r="I2" s="26"/>
      <c r="J2" s="26"/>
      <c r="L2" s="55"/>
      <c r="M2" s="53"/>
      <c r="N2" s="26"/>
      <c r="O2" s="57"/>
      <c r="P2" s="54"/>
      <c r="Q2" s="54"/>
      <c r="R2" s="23"/>
      <c r="V2" s="23"/>
      <c r="W2" s="23"/>
      <c r="X2" s="23"/>
      <c r="Y2" s="23"/>
      <c r="Z2" s="23"/>
      <c r="AA2" s="23"/>
      <c r="AB2" s="23"/>
    </row>
    <row r="3" spans="1:28" x14ac:dyDescent="0.35">
      <c r="A3" s="4"/>
      <c r="B3" s="4"/>
      <c r="C3" s="44"/>
      <c r="D3" s="45"/>
      <c r="E3" s="24" t="str">
        <f t="shared" ref="E3:E4" si="0">IF(ISBLANK(F2) = FALSE, F2, "")</f>
        <v/>
      </c>
      <c r="F3" s="24"/>
      <c r="G3" s="25" t="str">
        <f t="shared" ref="G3:G4" si="1">IF(ISBLANK(F3) = FALSE,(F3-E3)*24,"")</f>
        <v/>
      </c>
      <c r="H3" s="26"/>
      <c r="I3" s="26"/>
      <c r="J3" s="26"/>
      <c r="L3" s="55"/>
      <c r="M3" s="53"/>
      <c r="N3" s="26"/>
      <c r="P3" s="54"/>
      <c r="Q3" s="54"/>
      <c r="R3" s="23"/>
      <c r="V3" s="23"/>
      <c r="W3" s="23"/>
      <c r="X3" s="23"/>
      <c r="Y3" s="23"/>
      <c r="Z3" s="23"/>
      <c r="AA3" s="23"/>
      <c r="AB3" s="23"/>
    </row>
    <row r="4" spans="1:28" x14ac:dyDescent="0.35">
      <c r="A4" s="4"/>
      <c r="B4" s="4"/>
      <c r="C4" s="44"/>
      <c r="D4" s="45"/>
      <c r="E4" s="24" t="str">
        <f t="shared" si="0"/>
        <v/>
      </c>
      <c r="F4" s="24"/>
      <c r="G4" s="25" t="str">
        <f t="shared" si="1"/>
        <v/>
      </c>
      <c r="H4" s="26"/>
      <c r="I4" s="26"/>
      <c r="J4" s="26"/>
      <c r="L4" s="55"/>
      <c r="M4" s="53"/>
      <c r="N4" s="26"/>
      <c r="P4" s="54"/>
      <c r="Q4" s="54"/>
      <c r="R4" s="23"/>
      <c r="V4" s="23"/>
      <c r="W4" s="23"/>
      <c r="X4" s="23"/>
      <c r="Y4" s="23"/>
      <c r="Z4" s="23"/>
      <c r="AA4" s="23"/>
      <c r="AB4" s="23"/>
    </row>
    <row r="5" spans="1:28" x14ac:dyDescent="0.35">
      <c r="A5" s="4"/>
      <c r="B5" s="4"/>
      <c r="C5" s="31" t="e">
        <f t="shared" ref="C5:C23" si="2" xml:space="preserve"> IF(WEEKDAY(D5) = 1,"Sunday", IF(WEEKDAY(D5) = 2,"Monday", IF(WEEKDAY(D5) = 3, "Tuesday",IF(WEEKDAY(D5) = 4,"Wednesday",IF(WEEKDAY(D5) = 5,"Thursday",IF(WEEKDAY(D5) = 6,"Friday", IF(WEEKDAY(D5) = 7,"Saturday","")))))))</f>
        <v>#VALUE!</v>
      </c>
      <c r="D5" s="32" t="s">
        <v>50</v>
      </c>
      <c r="E5" s="33"/>
      <c r="F5" s="33"/>
      <c r="G5" s="34"/>
      <c r="H5" s="35"/>
      <c r="I5" s="35"/>
      <c r="J5" s="35"/>
      <c r="L5" s="56"/>
      <c r="M5" s="35"/>
      <c r="N5" s="35"/>
      <c r="P5" s="54"/>
      <c r="Q5" s="54"/>
      <c r="R5" s="23"/>
      <c r="V5" s="23"/>
      <c r="W5" s="23"/>
      <c r="X5" s="23"/>
      <c r="Y5" s="23"/>
      <c r="Z5" s="23"/>
      <c r="AA5" s="23"/>
      <c r="AB5" s="23"/>
    </row>
    <row r="6" spans="1:28" x14ac:dyDescent="0.35">
      <c r="A6" s="4"/>
      <c r="B6" s="4"/>
      <c r="C6" s="44"/>
      <c r="D6" s="45"/>
      <c r="E6" s="24" t="str">
        <f t="shared" ref="E6:E24" si="3">IF(ISBLANK(F5) = FALSE, F5, "")</f>
        <v/>
      </c>
      <c r="F6" s="24"/>
      <c r="G6" s="25" t="str">
        <f>IF(ISBLANK(F6) = FALSE,(F6-E6)*24,"")</f>
        <v/>
      </c>
      <c r="H6" s="26"/>
      <c r="I6" s="26"/>
      <c r="J6" s="26"/>
      <c r="L6" s="55"/>
      <c r="M6" s="26"/>
      <c r="N6" s="26"/>
      <c r="P6" s="54"/>
      <c r="Q6" s="54"/>
      <c r="R6" s="23"/>
      <c r="V6" s="23"/>
      <c r="W6" s="23"/>
      <c r="X6" s="23"/>
      <c r="Y6" s="23"/>
      <c r="Z6" s="23"/>
      <c r="AA6" s="23"/>
      <c r="AB6" s="23"/>
    </row>
    <row r="7" spans="1:28" x14ac:dyDescent="0.35">
      <c r="A7" s="4"/>
      <c r="B7" s="4"/>
      <c r="C7" s="44"/>
      <c r="D7" s="45"/>
      <c r="E7" s="24" t="str">
        <f t="shared" si="3"/>
        <v/>
      </c>
      <c r="F7" s="24"/>
      <c r="G7" s="25" t="str">
        <f t="shared" ref="G7:G24" si="4">IF(ISBLANK(F7) = FALSE,(F7-E7)*24,"")</f>
        <v/>
      </c>
      <c r="H7" s="26"/>
      <c r="I7" s="26"/>
      <c r="J7" s="26"/>
      <c r="L7" s="55"/>
      <c r="M7" s="26"/>
      <c r="N7" s="26"/>
      <c r="P7" s="54"/>
      <c r="Q7" s="54"/>
      <c r="R7" s="23"/>
      <c r="V7" s="23"/>
      <c r="W7" s="23"/>
      <c r="X7" s="23"/>
      <c r="Y7" s="23"/>
      <c r="Z7" s="23"/>
      <c r="AA7" s="23"/>
      <c r="AB7" s="23"/>
    </row>
    <row r="8" spans="1:28" x14ac:dyDescent="0.35">
      <c r="A8" s="4"/>
      <c r="B8" s="4"/>
      <c r="C8" s="44"/>
      <c r="D8" s="45"/>
      <c r="E8" s="24" t="str">
        <f t="shared" si="3"/>
        <v/>
      </c>
      <c r="F8" s="24"/>
      <c r="G8" s="25" t="str">
        <f t="shared" si="4"/>
        <v/>
      </c>
      <c r="H8" s="26"/>
      <c r="I8" s="26"/>
      <c r="J8" s="26"/>
      <c r="L8" s="55"/>
      <c r="M8" s="26"/>
      <c r="N8" s="26"/>
      <c r="P8" s="54"/>
      <c r="Q8" s="54"/>
      <c r="R8" s="23"/>
      <c r="V8" s="23"/>
      <c r="W8" s="23"/>
      <c r="X8" s="23"/>
      <c r="Y8" s="23"/>
      <c r="Z8" s="23"/>
      <c r="AA8" s="23"/>
      <c r="AB8" s="23"/>
    </row>
    <row r="9" spans="1:28" x14ac:dyDescent="0.35">
      <c r="A9" s="4"/>
      <c r="B9" s="4"/>
      <c r="C9" s="31" t="e">
        <f t="shared" si="2"/>
        <v>#VALUE!</v>
      </c>
      <c r="D9" s="32" t="s">
        <v>50</v>
      </c>
      <c r="E9" s="33"/>
      <c r="F9" s="33"/>
      <c r="G9" s="34"/>
      <c r="H9" s="35"/>
      <c r="I9" s="35"/>
      <c r="J9" s="35"/>
      <c r="L9" s="56"/>
      <c r="M9" s="35"/>
      <c r="N9" s="35"/>
      <c r="P9" s="54"/>
      <c r="Q9" s="54"/>
      <c r="R9" s="23"/>
      <c r="V9" s="23"/>
      <c r="W9" s="23"/>
      <c r="X9" s="23"/>
      <c r="Y9" s="23"/>
      <c r="Z9" s="23"/>
      <c r="AA9" s="23"/>
      <c r="AB9" s="23"/>
    </row>
    <row r="10" spans="1:28" x14ac:dyDescent="0.35">
      <c r="A10" s="4"/>
      <c r="B10" s="4"/>
      <c r="C10" s="44"/>
      <c r="D10" s="45"/>
      <c r="E10" s="24" t="str">
        <f t="shared" si="3"/>
        <v/>
      </c>
      <c r="F10" s="24"/>
      <c r="G10" s="25" t="str">
        <f t="shared" si="4"/>
        <v/>
      </c>
      <c r="H10" s="26"/>
      <c r="I10" s="26"/>
      <c r="J10" s="26"/>
      <c r="L10" s="55"/>
      <c r="M10" s="26"/>
      <c r="N10" s="26"/>
      <c r="P10" s="54"/>
      <c r="Q10" s="54"/>
      <c r="R10" s="23"/>
      <c r="V10" s="23"/>
      <c r="W10" s="23"/>
      <c r="X10" s="23"/>
      <c r="Y10" s="23"/>
      <c r="Z10" s="23"/>
      <c r="AA10" s="23"/>
      <c r="AB10" s="23"/>
    </row>
    <row r="11" spans="1:28" x14ac:dyDescent="0.35">
      <c r="A11" s="4"/>
      <c r="B11" s="4"/>
      <c r="C11" s="44"/>
      <c r="D11" s="45"/>
      <c r="E11" s="24" t="str">
        <f t="shared" si="3"/>
        <v/>
      </c>
      <c r="F11" s="24"/>
      <c r="G11" s="25" t="str">
        <f t="shared" si="4"/>
        <v/>
      </c>
      <c r="H11" s="26"/>
      <c r="I11" s="26"/>
      <c r="J11" s="26"/>
      <c r="L11" s="55"/>
      <c r="M11" s="26"/>
      <c r="N11" s="26"/>
      <c r="P11" s="54"/>
      <c r="Q11" s="54"/>
      <c r="R11" s="23"/>
      <c r="V11" s="23"/>
      <c r="W11" s="23"/>
      <c r="X11" s="23"/>
      <c r="Y11" s="23"/>
      <c r="Z11" s="23"/>
      <c r="AA11" s="23"/>
      <c r="AB11" s="23"/>
    </row>
    <row r="12" spans="1:28" x14ac:dyDescent="0.35">
      <c r="A12" s="4"/>
      <c r="B12" s="4"/>
      <c r="C12" s="44"/>
      <c r="D12" s="45"/>
      <c r="E12" s="24" t="str">
        <f t="shared" si="3"/>
        <v/>
      </c>
      <c r="F12" s="24"/>
      <c r="G12" s="25" t="str">
        <f t="shared" si="4"/>
        <v/>
      </c>
      <c r="H12" s="26"/>
      <c r="I12" s="26"/>
      <c r="J12" s="26"/>
      <c r="L12" s="55"/>
      <c r="M12" s="26"/>
      <c r="N12" s="26"/>
      <c r="P12" s="54"/>
      <c r="Q12" s="54"/>
      <c r="R12" s="23"/>
      <c r="V12" s="23"/>
      <c r="W12" s="23"/>
      <c r="X12" s="23"/>
      <c r="Y12" s="23"/>
      <c r="Z12" s="23"/>
      <c r="AA12" s="23"/>
      <c r="AB12" s="23"/>
    </row>
    <row r="13" spans="1:28" x14ac:dyDescent="0.35">
      <c r="A13" s="4"/>
      <c r="B13" s="4"/>
      <c r="C13" s="31" t="e">
        <f t="shared" si="2"/>
        <v>#VALUE!</v>
      </c>
      <c r="D13" s="32" t="s">
        <v>50</v>
      </c>
      <c r="E13" s="33"/>
      <c r="F13" s="33"/>
      <c r="G13" s="34"/>
      <c r="H13" s="35"/>
      <c r="I13" s="35"/>
      <c r="J13" s="35"/>
      <c r="L13" s="56"/>
      <c r="M13" s="35"/>
      <c r="N13" s="35"/>
      <c r="P13" s="54"/>
      <c r="Q13" s="54"/>
      <c r="R13" s="23"/>
      <c r="V13" s="23"/>
      <c r="W13" s="23"/>
      <c r="X13" s="23"/>
      <c r="Y13" s="23"/>
      <c r="Z13" s="23"/>
      <c r="AA13" s="23"/>
      <c r="AB13" s="23"/>
    </row>
    <row r="14" spans="1:28" x14ac:dyDescent="0.35">
      <c r="A14" s="4"/>
      <c r="B14" s="4"/>
      <c r="C14" s="44"/>
      <c r="D14" s="45"/>
      <c r="E14" s="24" t="str">
        <f t="shared" si="3"/>
        <v/>
      </c>
      <c r="F14" s="24"/>
      <c r="G14" s="25" t="str">
        <f t="shared" si="4"/>
        <v/>
      </c>
      <c r="H14" s="26"/>
      <c r="I14" s="26"/>
      <c r="J14" s="26"/>
      <c r="L14" s="55"/>
      <c r="M14" s="26"/>
      <c r="N14" s="26"/>
      <c r="P14" s="54"/>
      <c r="Q14" s="54"/>
      <c r="R14" s="23"/>
      <c r="V14" s="23"/>
      <c r="W14" s="23"/>
      <c r="X14" s="23"/>
      <c r="Y14" s="23"/>
      <c r="Z14" s="23"/>
      <c r="AA14" s="23"/>
      <c r="AB14" s="23"/>
    </row>
    <row r="15" spans="1:28" x14ac:dyDescent="0.35">
      <c r="A15" s="4"/>
      <c r="B15" s="4"/>
      <c r="C15" s="44"/>
      <c r="D15" s="45"/>
      <c r="E15" s="24" t="str">
        <f t="shared" si="3"/>
        <v/>
      </c>
      <c r="F15" s="24"/>
      <c r="G15" s="25" t="str">
        <f t="shared" si="4"/>
        <v/>
      </c>
      <c r="H15" s="26"/>
      <c r="I15" s="26"/>
      <c r="J15" s="26"/>
      <c r="L15" s="55"/>
      <c r="M15" s="26"/>
      <c r="N15" s="26"/>
      <c r="P15" s="54"/>
      <c r="Q15" s="54"/>
      <c r="R15" s="23"/>
      <c r="V15" s="23"/>
      <c r="W15" s="23"/>
      <c r="X15" s="23"/>
      <c r="Y15" s="23"/>
      <c r="Z15" s="23"/>
      <c r="AA15" s="23"/>
      <c r="AB15" s="23"/>
    </row>
    <row r="16" spans="1:28" x14ac:dyDescent="0.35">
      <c r="A16" s="4"/>
      <c r="B16" s="4"/>
      <c r="C16" s="44"/>
      <c r="D16" s="45"/>
      <c r="E16" s="24" t="str">
        <f t="shared" si="3"/>
        <v/>
      </c>
      <c r="F16" s="24"/>
      <c r="G16" s="25" t="str">
        <f t="shared" si="4"/>
        <v/>
      </c>
      <c r="H16" s="26"/>
      <c r="I16" s="26"/>
      <c r="J16" s="26"/>
      <c r="L16" s="55"/>
      <c r="M16" s="26"/>
      <c r="N16" s="26"/>
      <c r="P16" s="54"/>
      <c r="Q16" s="54"/>
      <c r="R16" s="23"/>
      <c r="V16" s="23"/>
      <c r="W16" s="23"/>
      <c r="X16" s="23"/>
      <c r="Y16" s="23"/>
      <c r="Z16" s="23"/>
      <c r="AA16" s="23"/>
      <c r="AB16" s="23"/>
    </row>
    <row r="17" spans="1:28" x14ac:dyDescent="0.35">
      <c r="A17" s="4"/>
      <c r="B17" s="4"/>
      <c r="C17" s="31" t="e">
        <f t="shared" si="2"/>
        <v>#VALUE!</v>
      </c>
      <c r="D17" s="32" t="s">
        <v>50</v>
      </c>
      <c r="E17" s="33"/>
      <c r="F17" s="33"/>
      <c r="G17" s="34"/>
      <c r="H17" s="35"/>
      <c r="I17" s="35"/>
      <c r="J17" s="35"/>
      <c r="L17" s="56"/>
      <c r="M17" s="35"/>
      <c r="N17" s="35"/>
      <c r="P17" s="54"/>
      <c r="Q17" s="54"/>
      <c r="R17" s="23"/>
      <c r="V17" s="23"/>
      <c r="W17" s="23"/>
      <c r="X17" s="23"/>
      <c r="Y17" s="23"/>
      <c r="Z17" s="23"/>
      <c r="AA17" s="23"/>
      <c r="AB17" s="23"/>
    </row>
    <row r="18" spans="1:28" x14ac:dyDescent="0.35">
      <c r="A18" s="4"/>
      <c r="B18" s="4"/>
      <c r="C18" s="44"/>
      <c r="D18" s="45"/>
      <c r="E18" s="24" t="str">
        <f t="shared" si="3"/>
        <v/>
      </c>
      <c r="F18" s="24"/>
      <c r="G18" s="25" t="str">
        <f t="shared" si="4"/>
        <v/>
      </c>
      <c r="H18" s="26"/>
      <c r="I18" s="26"/>
      <c r="J18" s="26"/>
      <c r="L18" s="55"/>
      <c r="M18" s="26"/>
      <c r="N18" s="26"/>
      <c r="P18" s="54"/>
      <c r="Q18" s="54"/>
      <c r="R18" s="23"/>
      <c r="V18" s="23"/>
      <c r="W18" s="23"/>
      <c r="X18" s="23"/>
      <c r="Y18" s="23"/>
      <c r="Z18" s="23"/>
      <c r="AA18" s="23"/>
      <c r="AB18" s="23"/>
    </row>
    <row r="19" spans="1:28" x14ac:dyDescent="0.35">
      <c r="A19" s="4"/>
      <c r="B19" s="4"/>
      <c r="C19" s="44"/>
      <c r="D19" s="45"/>
      <c r="E19" s="24" t="str">
        <f t="shared" si="3"/>
        <v/>
      </c>
      <c r="F19" s="24"/>
      <c r="G19" s="25" t="str">
        <f t="shared" si="4"/>
        <v/>
      </c>
      <c r="H19" s="26"/>
      <c r="I19" s="26"/>
      <c r="J19" s="26"/>
      <c r="L19" s="55"/>
      <c r="M19" s="26"/>
      <c r="N19" s="26"/>
      <c r="P19" s="54"/>
      <c r="Q19" s="54"/>
      <c r="R19" s="23"/>
      <c r="V19" s="23"/>
      <c r="W19" s="23"/>
      <c r="X19" s="23"/>
      <c r="Y19" s="23"/>
      <c r="Z19" s="23"/>
      <c r="AA19" s="23"/>
      <c r="AB19" s="23"/>
    </row>
    <row r="20" spans="1:28" x14ac:dyDescent="0.35">
      <c r="A20" s="4"/>
      <c r="B20" s="4"/>
      <c r="C20" s="44"/>
      <c r="D20" s="45"/>
      <c r="E20" s="24" t="str">
        <f t="shared" si="3"/>
        <v/>
      </c>
      <c r="F20" s="24"/>
      <c r="G20" s="25" t="str">
        <f t="shared" si="4"/>
        <v/>
      </c>
      <c r="H20" s="26"/>
      <c r="I20" s="26"/>
      <c r="J20" s="26"/>
      <c r="L20" s="55"/>
      <c r="M20" s="26"/>
      <c r="N20" s="26"/>
      <c r="P20" s="54"/>
      <c r="Q20" s="54"/>
      <c r="R20" s="23"/>
      <c r="V20" s="23"/>
      <c r="W20" s="23"/>
      <c r="X20" s="23"/>
      <c r="Y20" s="23"/>
      <c r="Z20" s="23"/>
      <c r="AA20" s="23"/>
      <c r="AB20" s="23"/>
    </row>
    <row r="21" spans="1:28" x14ac:dyDescent="0.35">
      <c r="A21" s="4"/>
      <c r="B21" s="4"/>
      <c r="C21" s="31" t="e">
        <f t="shared" si="2"/>
        <v>#VALUE!</v>
      </c>
      <c r="D21" s="32" t="s">
        <v>50</v>
      </c>
      <c r="E21" s="33"/>
      <c r="F21" s="33"/>
      <c r="G21" s="34"/>
      <c r="H21" s="35"/>
      <c r="I21" s="35"/>
      <c r="J21" s="35"/>
      <c r="L21" s="56"/>
      <c r="M21" s="35"/>
      <c r="N21" s="35"/>
      <c r="P21" s="54"/>
      <c r="Q21" s="54"/>
      <c r="R21" s="23"/>
      <c r="V21" s="23"/>
      <c r="W21" s="23"/>
      <c r="X21" s="23"/>
      <c r="Y21" s="23"/>
      <c r="Z21" s="23"/>
      <c r="AA21" s="23"/>
      <c r="AB21" s="23"/>
    </row>
    <row r="22" spans="1:28" x14ac:dyDescent="0.35">
      <c r="A22" s="4"/>
      <c r="B22" s="4"/>
      <c r="C22" s="44"/>
      <c r="D22" s="45"/>
      <c r="E22" s="24" t="str">
        <f t="shared" si="3"/>
        <v/>
      </c>
      <c r="F22" s="24"/>
      <c r="G22" s="25" t="str">
        <f t="shared" si="4"/>
        <v/>
      </c>
      <c r="H22" s="26"/>
      <c r="I22" s="26"/>
      <c r="J22" s="26"/>
      <c r="L22" s="55"/>
      <c r="M22" s="26"/>
      <c r="N22" s="26"/>
      <c r="P22" s="54"/>
      <c r="Q22" s="54"/>
      <c r="R22" s="23"/>
      <c r="V22" s="23"/>
      <c r="W22" s="23"/>
      <c r="X22" s="23"/>
      <c r="Y22" s="23"/>
      <c r="Z22" s="23"/>
      <c r="AA22" s="23"/>
      <c r="AB22" s="23"/>
    </row>
    <row r="23" spans="1:28" x14ac:dyDescent="0.35">
      <c r="A23" s="4"/>
      <c r="B23" s="4"/>
      <c r="C23" s="31" t="e">
        <f t="shared" si="2"/>
        <v>#VALUE!</v>
      </c>
      <c r="D23" s="32" t="s">
        <v>50</v>
      </c>
      <c r="E23" s="33"/>
      <c r="F23" s="33"/>
      <c r="G23" s="34"/>
      <c r="H23" s="35"/>
      <c r="I23" s="35"/>
      <c r="J23" s="35"/>
      <c r="L23" s="56"/>
      <c r="M23" s="35"/>
      <c r="N23" s="35"/>
      <c r="P23" s="54"/>
      <c r="Q23" s="54"/>
      <c r="R23" s="23"/>
      <c r="V23" s="23"/>
      <c r="W23" s="23"/>
      <c r="X23" s="23"/>
      <c r="Y23" s="23"/>
      <c r="Z23" s="23"/>
      <c r="AA23" s="23"/>
      <c r="AB23" s="23"/>
    </row>
    <row r="24" spans="1:28" x14ac:dyDescent="0.35">
      <c r="A24" s="4"/>
      <c r="B24" s="4"/>
      <c r="C24" s="44"/>
      <c r="D24" s="45"/>
      <c r="E24" s="24" t="str">
        <f t="shared" si="3"/>
        <v/>
      </c>
      <c r="F24" s="24"/>
      <c r="G24" s="25" t="str">
        <f t="shared" si="4"/>
        <v/>
      </c>
      <c r="H24" s="26"/>
      <c r="I24" s="26"/>
      <c r="J24" s="26"/>
      <c r="L24" s="55"/>
      <c r="M24" s="26"/>
      <c r="N24" s="26"/>
      <c r="P24" s="54"/>
      <c r="Q24" s="54"/>
      <c r="R24" s="23"/>
      <c r="V24" s="23"/>
      <c r="W24" s="23"/>
      <c r="X24" s="23"/>
      <c r="Y24" s="23"/>
      <c r="Z24" s="23"/>
      <c r="AA24" s="23"/>
      <c r="AB24" s="23"/>
    </row>
    <row r="26" spans="1:28" x14ac:dyDescent="0.35">
      <c r="E26" s="49" t="s">
        <v>24</v>
      </c>
      <c r="F26" s="7"/>
      <c r="G26" s="14">
        <f>SUM(G2:G24)</f>
        <v>0</v>
      </c>
      <c r="L26" s="4"/>
      <c r="P26" s="50" t="s">
        <v>25</v>
      </c>
      <c r="R26" s="14">
        <f>SUMIFS(P2:P24,R2:R24,"=Billable")</f>
        <v>0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FEBDF10-FC09-45AC-95B0-6B08143AED13}">
          <x14:formula1>
            <xm:f>Jurisdiction!$A$5:$A$99</xm:f>
          </x14:formula1>
          <xm:sqref>I2:I4 I24 I22 I18:I20 I14:I16 I10:I12 I6:I8</xm:sqref>
        </x14:dataValidation>
        <x14:dataValidation type="list" allowBlank="1" showInputMessage="1" showErrorMessage="1" xr:uid="{5F783BB3-438E-4019-AA58-5A55C4868C15}">
          <x14:formula1>
            <xm:f>Matter_Code!$A$5:$A$95</xm:f>
          </x14:formula1>
          <xm:sqref>H22 H18:H20 H14:H16 H10:H12 H6:H8 H24 H2:H4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25C010413A52149A563D24133A659A3" ma:contentTypeVersion="11" ma:contentTypeDescription="Create a new document." ma:contentTypeScope="" ma:versionID="215953a0f2942fed076ab3ef6fefec31">
  <xsd:schema xmlns:xsd="http://www.w3.org/2001/XMLSchema" xmlns:xs="http://www.w3.org/2001/XMLSchema" xmlns:p="http://schemas.microsoft.com/office/2006/metadata/properties" xmlns:ns3="c4551e9e-800d-4c2a-9c54-7b0e0e62344b" xmlns:ns4="f8829c5b-d49a-4eb8-988d-261f6776c3d7" targetNamespace="http://schemas.microsoft.com/office/2006/metadata/properties" ma:root="true" ma:fieldsID="867e75e39dda70c0b90a7139713f88a1" ns3:_="" ns4:_="">
    <xsd:import namespace="c4551e9e-800d-4c2a-9c54-7b0e0e62344b"/>
    <xsd:import namespace="f8829c5b-d49a-4eb8-988d-261f6776c3d7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4551e9e-800d-4c2a-9c54-7b0e0e62344b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8829c5b-d49a-4eb8-988d-261f6776c3d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9FF9E41-090D-4D24-A116-1909F9B8B861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10689A0-8558-413B-AF6D-382F4CDA64A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4551e9e-800d-4c2a-9c54-7b0e0e62344b"/>
    <ds:schemaRef ds:uri="f8829c5b-d49a-4eb8-988d-261f6776c3d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BF46917-585D-4BCA-9C49-B3877A11AA5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Time_Entry</vt:lpstr>
      <vt:lpstr>Matter_Code</vt:lpstr>
      <vt:lpstr>Jurisdiction</vt:lpstr>
      <vt:lpstr>Week_Template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Bowling, Reese</dc:creator>
  <cp:lastModifiedBy>Armentrout, Alyse</cp:lastModifiedBy>
  <dcterms:created xsi:type="dcterms:W3CDTF">2020-07-29T12:51:05Z</dcterms:created>
  <dcterms:modified xsi:type="dcterms:W3CDTF">2020-08-05T17:32:51Z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0x010100725C010413A52149A563D24133A659A3</vt:lpwstr>
  </property>
</Properties>
</file>