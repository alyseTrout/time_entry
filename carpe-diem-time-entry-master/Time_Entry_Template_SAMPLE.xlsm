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"/>
    </mc:Choice>
  </mc:AlternateContent>
  <xr:revisionPtr revIDLastSave="34" documentId="8_{D214EB2E-EA75-4862-81F5-ADD293EBC40C}" xr6:coauthVersionLast="45" xr6:coauthVersionMax="45" xr10:uidLastSave="{5C2D2DB1-CA9F-401F-BA1A-B4E37431D72E}"/>
  <bookViews>
    <workbookView xWindow="-110" yWindow="-110" windowWidth="19420" windowHeight="10420" activeTab="1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L9" i="1" l="1"/>
  <c r="P9" i="1"/>
  <c r="P7" i="1"/>
  <c r="X7" i="1"/>
  <c r="X8" i="1"/>
  <c r="X9" i="1"/>
  <c r="V7" i="1"/>
  <c r="V8" i="1"/>
  <c r="V9" i="1"/>
  <c r="N10" i="1"/>
  <c r="L10" i="1"/>
  <c r="L7" i="1"/>
  <c r="AB7" i="1"/>
  <c r="AB8" i="1"/>
  <c r="AB9" i="1"/>
  <c r="AA8" i="1"/>
  <c r="AA7" i="1"/>
  <c r="AA9" i="1"/>
  <c r="E12" i="1" l="1"/>
  <c r="E13" i="1"/>
  <c r="E14" i="1"/>
  <c r="G13" i="1"/>
  <c r="AB12" i="1"/>
  <c r="AA12" i="1"/>
  <c r="Z12" i="1"/>
  <c r="X12" i="1"/>
  <c r="V12" i="1"/>
  <c r="N12" i="1"/>
  <c r="N14" i="1"/>
  <c r="L12" i="1"/>
  <c r="L14" i="1"/>
  <c r="AB10" i="1"/>
  <c r="X10" i="1"/>
  <c r="V10" i="1"/>
  <c r="G14" i="1" l="1"/>
  <c r="G12" i="1"/>
  <c r="G9" i="1" l="1"/>
  <c r="E10" i="1"/>
  <c r="G10" i="1" s="1"/>
  <c r="G7" i="1"/>
  <c r="E8" i="1"/>
  <c r="G8" i="1" s="1"/>
  <c r="L8" i="1" l="1"/>
  <c r="P8" i="1"/>
  <c r="A1" i="4"/>
  <c r="A1" i="2"/>
  <c r="E1" i="4"/>
  <c r="E2" i="2"/>
  <c r="E1" i="2"/>
  <c r="E2" i="4"/>
  <c r="Z7" i="1" l="1"/>
  <c r="Z8" i="1"/>
  <c r="N8" i="1"/>
  <c r="N7" i="1"/>
  <c r="Z9" i="1"/>
  <c r="N9" i="1"/>
  <c r="R7" i="1"/>
  <c r="R9" i="1"/>
  <c r="R8" i="1"/>
  <c r="G26" i="3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<sst xmlns="http://schemas.openxmlformats.org/spreadsheetml/2006/main" count="121" uniqueCount="52">
  <si>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</si>
  <si>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</si>
  <si>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</si>
  <si>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</si>
  <si>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</si>
  <si>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</si>
  <si>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</si>
  <si>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</si>
  <si>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</si>
  <si>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</si>
  <si>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</si>
  <si>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</si>
  <si>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</si>
  <si>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</si>
  <si>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</si>
  <si>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</si>
  <si>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</si>
  <si>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</si>
  <si>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</si>
  <si>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</si>
  <si>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</si>
  <si>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</si>
  <si>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</si>
  <si>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</si>
  <si>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</si>
  <si>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</si>
  <si>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</si>
  <si>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</si>
  <si>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</si>
  <si>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</si>
  <si>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</si>
  <si>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</si>
  <si>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</si>
  <si>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</si>
  <si>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</si>
  <si>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</si>
  <si>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</si>
  <si>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</si>
  <si>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</si>
  <si>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</si>
  <si>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</si>
  <si>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</si>
  <si>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</si>
  <si>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</si>
  <si>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</si>
  <si>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</si>
  <si>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</si>
  <si>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</si>
  <si>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</si>
  <si>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</si>
  <si>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</si>
  <si>
    <t>SAMPLE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</si>
</sst>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0</xdr:row>
          <xdr:rowOff>133350</xdr:rowOff>
        </xdr:from>
        <xdr:to>
          <xdr:col>8</xdr:col>
          <xdr:colOff>768350</xdr:colOff>
          <xdr:row>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0</xdr:row>
          <xdr:rowOff>139700</xdr:rowOff>
        </xdr:from>
        <xdr:to>
          <xdr:col>11</xdr:col>
          <xdr:colOff>711200</xdr:colOff>
          <xdr:row>2</xdr:row>
          <xdr:rowOff>6350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0</xdr:row>
          <xdr:rowOff>139700</xdr:rowOff>
        </xdr:from>
        <xdr:to>
          <xdr:col>9</xdr:col>
          <xdr:colOff>1257300</xdr:colOff>
          <xdr:row>2</xdr:row>
          <xdr:rowOff>6350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G10" sqref="G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 t="s">
        <v>51</v>
      </c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>
        <v>0.375</v>
      </c>
      <c r="F7" s="24">
        <v>0.41666666666666669</v>
      </c>
      <c r="G7" s="25">
        <f>IF(ISBLANK(F7) = FALSE,(F7-E7)*24,"")</f>
        <v>1.0000000000000004</v>
      </c>
      <c r="H7" s="26" t="s">
        <v>43</v>
      </c>
      <c r="I7" s="26"/>
      <c r="J7" s="52" t="s">
        <v>45</v>
      </c>
      <c r="K7" s="17" t="s">
        <v>37</v>
      </c>
      <c r="L7" s="61">
        <f>IF($M7&lt;&gt;"",SUMIFS($G$7:$G$10,$H$7:$H$10,$M7),"")</f>
        <v>1.0000000000000004</v>
      </c>
      <c r="M7" s="58" t="s">
        <v>43</v>
      </c>
      <c r="N7" s="26" t="str">
        <f>IF($M7&lt;&gt;"",VLOOKUP($M7,Matter_Code!A:F,3,0),"")</f>
        <v>000001.0000</v>
      </c>
      <c r="O7" s="65"/>
      <c r="P7" s="64">
        <f>IF($Q7&lt;&gt;"",SUMIFS($G$7:$G$30,$H$7:$H$30,$Q7),"")</f>
        <v>1.0000000000000004</v>
      </c>
      <c r="Q7" s="54" t="s">
        <v>43</v>
      </c>
      <c r="R7" s="23" t="str">
        <f>IF(NOT(ISBLANK(P7)),VLOOKUP(Q7,Matter_Code!A:F,2,FALSE),"")</f>
        <v>Billable</v>
      </c>
      <c r="V7" s="71">
        <f t="shared" ref="V7:V9" si="0">IF(ISNUMBER($W7) = TRUE,$D$6, "")</f>
        <v>44046</v>
      </c>
      <c r="W7" s="66">
        <v>1.0000000000000004</v>
      </c>
      <c r="X7" s="59" t="str">
        <f t="shared" ref="X7:X9" si="1">IF(ISBLANK($Y7) = FALSE,LEFT($Y7,6),"")</f>
        <v>000001</v>
      </c>
      <c r="Y7" s="54" t="s">
        <v>47</v>
      </c>
      <c r="Z7" s="59" t="str">
        <f>IF(ISNUMBER($W7) = TRUE,IF(VLOOKUP($M7,Matter_Code!A:E,5,0)="","",VLOOKUP($M7,Matter_Code!A:E,5,0)),"")</f>
        <v>2B</v>
      </c>
      <c r="AA7" s="59" t="str">
        <f>IF(ISNUMBER($W7) = TRUE,JURISDICTIONLOOKUP($M7,$H$7:$J$10,2),"")</f>
        <v>DC</v>
      </c>
      <c r="AB7" s="23" t="str">
        <f>IF(ISNUMBER($W7) = TRUE,MULTIPLEVLOOKUP($M7,$H$7:$J$10,3),"")</f>
        <v xml:space="preserve">Worked on task 2B. </v>
      </c>
    </row>
    <row r="8" spans="1:28" x14ac:dyDescent="0.35">
      <c r="C8" s="44"/>
      <c r="D8" s="45"/>
      <c r="E8" s="24">
        <f t="shared" ref="E8:E9" si="2">IF(ISBLANK(F7) = FALSE, F7, "")</f>
        <v>0.41666666666666669</v>
      </c>
      <c r="F8" s="24">
        <v>0.4826388888888889</v>
      </c>
      <c r="G8" s="25">
        <f t="shared" ref="G8:G10" si="3">IF(ISBLANK(F8) = FALSE,(F8-E8)*24,"")</f>
        <v>1.583333333333333</v>
      </c>
      <c r="H8" s="26" t="s">
        <v>40</v>
      </c>
      <c r="I8" s="26"/>
      <c r="J8" s="26" t="s">
        <v>44</v>
      </c>
      <c r="K8" s="17" t="s">
        <v>37</v>
      </c>
      <c r="L8" s="61">
        <f t="shared" ref="L8:L10" si="4">IF($M8&lt;&gt;"",SUMIFS($G$7:$G$10,$H$7:$H$10,$M8),"")</f>
        <v>5.9999999999999991</v>
      </c>
      <c r="M8" s="58" t="s">
        <v>40</v>
      </c>
      <c r="N8" s="26" t="str">
        <f>IF($M8&lt;&gt;"",VLOOKUP($M8,Matter_Code!A:F,3,0),"")</f>
        <v>000001.0000</v>
      </c>
      <c r="O8" s="65"/>
      <c r="P8" s="64">
        <f t="shared" ref="P8:P9" si="5">IF($Q8&lt;&gt;"",SUMIFS($G$7:$G$30,$H$7:$H$30,$Q8),"")</f>
        <v>5.9999999999999991</v>
      </c>
      <c r="Q8" s="54" t="s">
        <v>40</v>
      </c>
      <c r="R8" s="23" t="str">
        <f>IF(NOT(ISBLANK(P8)),VLOOKUP(Q8,Matter_Code!A:F,2,FALSE),"")</f>
        <v>Billable</v>
      </c>
      <c r="V8" s="71">
        <f t="shared" si="0"/>
        <v>44046</v>
      </c>
      <c r="W8" s="66">
        <v>5.5833333333333321</v>
      </c>
      <c r="X8" s="59" t="str">
        <f t="shared" si="1"/>
        <v>000001</v>
      </c>
      <c r="Y8" s="54" t="s">
        <v>47</v>
      </c>
      <c r="Z8" s="59" t="str">
        <f>IF(ISNUMBER($W8) = TRUE,IF(VLOOKUP($M8,Matter_Code!A:E,5,0)="","",VLOOKUP($M8,Matter_Code!A:E,5,0)),"")</f>
        <v>2A</v>
      </c>
      <c r="AA8" s="59" t="str">
        <f>IF(ISNUMBER($W8) = TRUE,JURISDICTIONLOOKUP($M8,$H$7:$J$10,2),"")</f>
        <v>DC</v>
      </c>
      <c r="AB8" s="23" t="str">
        <f>IF(ISNUMBER($W8) = TRUE,MULTIPLEVLOOKUP($M8,$H$7:$J$10,3),"")</f>
        <v xml:space="preserve">Worked on task 2A. </v>
      </c>
    </row>
    <row r="9" spans="1:28" x14ac:dyDescent="0.35">
      <c r="C9" s="44"/>
      <c r="D9" s="45"/>
      <c r="E9" s="24">
        <f t="shared" si="2"/>
        <v>0.4826388888888889</v>
      </c>
      <c r="F9" s="24">
        <v>0.66666666666666663</v>
      </c>
      <c r="G9" s="25">
        <f t="shared" si="3"/>
        <v>4.4166666666666661</v>
      </c>
      <c r="H9" s="26" t="s">
        <v>40</v>
      </c>
      <c r="I9" s="26"/>
      <c r="J9" s="26" t="s">
        <v>44</v>
      </c>
      <c r="K9" s="17" t="s">
        <v>37</v>
      </c>
      <c r="L9" s="61">
        <f>IF($M9&lt;&gt;"",SUMIFS($G$7:$G$10,$H$7:$H$10,$M9),"")</f>
        <v>1.4166666666666696</v>
      </c>
      <c r="M9" s="58" t="s">
        <v>17</v>
      </c>
      <c r="N9" s="26" t="str">
        <f>IF($M9&lt;&gt;"",VLOOKUP($M9,Matter_Code!A:F,3,0),"")</f>
        <v>000000.0001</v>
      </c>
      <c r="O9" s="65"/>
      <c r="P9" s="64">
        <f t="shared" si="5"/>
        <v>1.4166666666666696</v>
      </c>
      <c r="Q9" s="54" t="s">
        <v>17</v>
      </c>
      <c r="R9" s="23" t="str">
        <f>IF(NOT(ISBLANK(P9)),VLOOKUP(Q9,Matter_Code!A:F,2,FALSE),"")</f>
        <v>Non-billable</v>
      </c>
      <c r="V9" s="71">
        <f t="shared" si="0"/>
        <v>44046</v>
      </c>
      <c r="W9" s="66">
        <v>1.4166666666666701</v>
      </c>
      <c r="X9" s="59" t="str">
        <f t="shared" si="1"/>
        <v>000000</v>
      </c>
      <c r="Y9" s="54" t="s">
        <v>46</v>
      </c>
      <c r="Z9" s="59" t="str">
        <f>IF(ISNUMBER($W9) = TRUE,IF(VLOOKUP($M9,Matter_Code!A:E,5,0)="","",VLOOKUP($M9,Matter_Code!A:E,5,0)),"")</f>
        <v/>
      </c>
      <c r="AA9" s="59" t="str">
        <f>IF(ISNUMBER($W9) = TRUE,JURISDICTIONLOOKUP($M9,$H$7:$J$10,2),"")</f>
        <v>DC</v>
      </c>
      <c r="AB9" s="23" t="str">
        <f>IF(ISNUMBER($W9) = TRUE,MULTIPLEVLOOKUP($M9,$H$7:$J$10,3),"")</f>
        <v xml:space="preserve">Holiday. </v>
      </c>
    </row>
    <row r="10" spans="1:28" x14ac:dyDescent="0.35">
      <c r="C10" s="44"/>
      <c r="D10" s="45"/>
      <c r="E10" s="24">
        <f>IF(ISBLANK(F9) = FALSE, F9, "")</f>
        <v>0.66666666666666663</v>
      </c>
      <c r="F10" s="24">
        <v>0.72569444444444453</v>
      </c>
      <c r="G10" s="25">
        <f t="shared" si="3"/>
        <v>1.4166666666666696</v>
      </c>
      <c r="H10" s="26" t="s">
        <v>17</v>
      </c>
      <c r="I10" s="26"/>
      <c r="J10" s="26" t="s">
        <v>17</v>
      </c>
      <c r="K10" s="17"/>
      <c r="L10" s="61" t="str">
        <f t="shared" si="4"/>
        <v/>
      </c>
      <c r="M10" s="58"/>
      <c r="N10" s="26" t="str">
        <f>IF($M10&lt;&gt;"",VLOOKUP($M10,Matter_Code!A:F,3,0),"")</f>
        <v/>
      </c>
      <c r="O10" s="65"/>
      <c r="P10" s="64"/>
      <c r="Q10" s="54"/>
      <c r="R10" s="23"/>
      <c r="V10" s="71" t="str">
        <f t="shared" ref="V10" si="6">IF(ISNUMBER($W10) = TRUE,$D$6, "")</f>
        <v/>
      </c>
      <c r="W10" s="66" t="s">
        <v>33</v>
      </c>
      <c r="X10" s="59" t="str">
        <f t="shared" ref="X10" si="7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8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9">IF(ISBLANK(F11) = FALSE, F11, "")</f>
        <v/>
      </c>
      <c r="F12" s="24"/>
      <c r="G12" s="25" t="str">
        <f t="shared" ref="G12:G30" si="10">IF(ISBLANK(F12) = FALSE,(F12-E12)*24,"")</f>
        <v/>
      </c>
      <c r="H12" s="26"/>
      <c r="I12" s="26"/>
      <c r="J12" s="26"/>
      <c r="K12" s="17"/>
      <c r="L12" s="61" t="str">
        <f>IF($M12&lt;&gt;"",SUMIFS($G$12:$G$14,$H$12:$H$14,$M12),"")</f>
        <v/>
      </c>
      <c r="M12" s="58"/>
      <c r="N12" s="26" t="str">
        <f>IF($M12&lt;&gt;"",VLOOKUP($M12,Matter_Code!A:F,3,0),"")</f>
        <v/>
      </c>
      <c r="O12" s="65"/>
      <c r="P12" s="64"/>
      <c r="Q12" s="54"/>
      <c r="R12" s="23"/>
      <c r="V12" s="71" t="str">
        <f t="shared" ref="V12" si="11">IF(ISNUMBER($W12) = TRUE,$D$11, "")</f>
        <v/>
      </c>
      <c r="W12" s="66" t="s">
        <v>33</v>
      </c>
      <c r="X12" s="59" t="str">
        <f t="shared" ref="X12" si="12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9"/>
        <v/>
      </c>
      <c r="F13" s="24"/>
      <c r="G13" s="25" t="str">
        <f t="shared" si="10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9"/>
        <v/>
      </c>
      <c r="F14" s="24"/>
      <c r="G14" s="25" t="str">
        <f t="shared" si="10"/>
        <v/>
      </c>
      <c r="H14" s="26"/>
      <c r="I14" s="26"/>
      <c r="J14" s="26"/>
      <c r="K14" s="17"/>
      <c r="L14" s="61" t="str">
        <f>IF($M14&lt;&gt;"",SUMIFS($G$12:$G$14,$H$12:$H$14,$M14),"")</f>
        <v/>
      </c>
      <c r="M14" s="58"/>
      <c r="N14" s="26" t="str">
        <f>IF($M14&lt;&gt;"",VLOOKUP($M14,Matter_Code!A:F,3,0),"")</f>
        <v/>
      </c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8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13">IF(ISBLANK(F15) = FALSE, F15, "")</f>
        <v/>
      </c>
      <c r="F16" s="24"/>
      <c r="G16" s="25" t="str">
        <f t="shared" si="10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13"/>
        <v/>
      </c>
      <c r="F17" s="24"/>
      <c r="G17" s="25" t="str">
        <f t="shared" si="10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13"/>
        <v/>
      </c>
      <c r="F18" s="24"/>
      <c r="G18" s="25" t="str">
        <f t="shared" si="10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8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13"/>
        <v/>
      </c>
      <c r="F20" s="24"/>
      <c r="G20" s="25" t="str">
        <f t="shared" si="10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13"/>
        <v/>
      </c>
      <c r="F21" s="24"/>
      <c r="G21" s="25" t="str">
        <f t="shared" si="10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13"/>
        <v/>
      </c>
      <c r="F22" s="24"/>
      <c r="G22" s="25" t="str">
        <f t="shared" si="10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8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13"/>
        <v/>
      </c>
      <c r="F24" s="24"/>
      <c r="G24" s="25" t="str">
        <f t="shared" si="10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13"/>
        <v/>
      </c>
      <c r="F25" s="24"/>
      <c r="G25" s="25" t="str">
        <f t="shared" si="10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13"/>
        <v/>
      </c>
      <c r="F26" s="24"/>
      <c r="G26" s="25" t="str">
        <f t="shared" si="10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8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13"/>
        <v/>
      </c>
      <c r="F28" s="24"/>
      <c r="G28" s="25" t="str">
        <f t="shared" si="10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8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13"/>
        <v/>
      </c>
      <c r="F30" s="24"/>
      <c r="G30" s="25" t="str">
        <f t="shared" si="10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8.4166666666666696</v>
      </c>
      <c r="P32" s="74" t="s">
        <v>25</v>
      </c>
      <c r="R32">
        <f>SUMIFS(P7:P30,R7:R30,"=Billable")</f>
        <v>7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0</xdr:row>
                    <xdr:rowOff>133350</xdr:rowOff>
                  </from>
                  <to>
                    <xdr:col>8</xdr:col>
                    <xdr:colOff>768350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0</xdr:row>
                    <xdr:rowOff>139700</xdr:rowOff>
                  </from>
                  <to>
                    <xdr:col>11</xdr:col>
                    <xdr:colOff>711200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0</xdr:row>
                    <xdr:rowOff>139700</xdr:rowOff>
                  </from>
                  <to>
                    <xdr:col>9</xdr:col>
                    <xdr:colOff>1257300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H1:H14 H30 H28 H26</xm:sqref>
        </x14:dataValidation>
        <x14:dataValidation type="list" allowBlank="1" showInputMessage="1" showErrorMessage="1" xr:uid="{0DD2755C-A4CC-46AD-B600-2BA63996E184}">
          <x14:formula1>
            <xm:f>Matter_Code!$A$5:$A$94</xm:f>
          </x14:formula1>
          <xm:sqref>H20 H24:H25 H22 H16:H18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8"/>
  <sheetViews>
    <sheetView tabSelected="1" workbookViewId="0">
      <selection activeCell="A10" sqref="A10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Matter_Code!$A$5:$A$94</xm:f>
          </x14:formula1>
          <xm:sqref>H22 H2:H4 H24 H6:H8 H10:H12 H14:H16 H18:H20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2020-08-05T19:23:38Z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